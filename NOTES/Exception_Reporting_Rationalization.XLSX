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70" windowWidth="14640" windowHeight="7935" firstSheet="6" activeTab="8"/>
  </bookViews>
  <sheets>
    <sheet name="Index" sheetId="6" r:id="rId1"/>
    <sheet name="Check List" sheetId="1" r:id="rId2"/>
    <sheet name="ApplicationInstance Migration" sheetId="5" r:id="rId3"/>
    <sheet name="AppExceptionLogger" sheetId="4" r:id="rId4"/>
    <sheet name="ExceptionReporting" sheetId="2" r:id="rId5"/>
    <sheet name="ThreadSafeExceptionReporting" sheetId="3" r:id="rId6"/>
    <sheet name="Compiler Diagnostics" sheetId="7" r:id="rId7"/>
    <sheet name="Extra Linefeed" sheetId="8" r:id="rId8"/>
    <sheet name="No Gun Jumping" sheetId="9" r:id="rId9"/>
  </sheets>
  <externalReferences>
    <externalReference r:id="rId10"/>
  </externalReferences>
  <definedNames>
    <definedName name="ThreadSafeExceptionReporting_Defined">ThreadSafeExceptionReporting!$A$25:$J$29</definedName>
    <definedName name="Visual_Studio_Source_Code">'Check List'!$E$2</definedName>
  </definedNames>
  <calcPr calcId="145621"/>
</workbook>
</file>

<file path=xl/calcChain.xml><?xml version="1.0" encoding="utf-8"?>
<calcChain xmlns="http://schemas.openxmlformats.org/spreadsheetml/2006/main">
  <c r="D1" i="8" l="1"/>
  <c r="C1" i="8"/>
  <c r="B1" i="8"/>
  <c r="A1" i="8"/>
  <c r="E65" i="7" l="1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26" i="5" l="1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F65" i="7"/>
  <c r="F57" i="7"/>
  <c r="F49" i="7"/>
  <c r="F41" i="7"/>
  <c r="F33" i="7"/>
  <c r="F25" i="7"/>
  <c r="F17" i="7"/>
  <c r="F3" i="7"/>
  <c r="F58" i="7"/>
  <c r="F50" i="7"/>
  <c r="F42" i="7"/>
  <c r="F34" i="7"/>
  <c r="F26" i="7"/>
  <c r="F18" i="7"/>
  <c r="F10" i="7"/>
  <c r="F5" i="7"/>
  <c r="F59" i="7"/>
  <c r="F51" i="7"/>
  <c r="F43" i="7"/>
  <c r="F35" i="7"/>
  <c r="F27" i="7"/>
  <c r="F19" i="7"/>
  <c r="F7" i="7"/>
  <c r="F60" i="7"/>
  <c r="F52" i="7"/>
  <c r="F44" i="7"/>
  <c r="F36" i="7"/>
  <c r="F28" i="7"/>
  <c r="F20" i="7"/>
  <c r="F12" i="7"/>
  <c r="F4" i="7"/>
  <c r="F2" i="7"/>
  <c r="F9" i="7"/>
  <c r="F61" i="7"/>
  <c r="F53" i="7"/>
  <c r="F45" i="7"/>
  <c r="F37" i="7"/>
  <c r="F29" i="7"/>
  <c r="F21" i="7"/>
  <c r="F11" i="7"/>
  <c r="F62" i="7"/>
  <c r="F54" i="7"/>
  <c r="F46" i="7"/>
  <c r="F38" i="7"/>
  <c r="F30" i="7"/>
  <c r="F22" i="7"/>
  <c r="F14" i="7"/>
  <c r="F6" i="7"/>
  <c r="F63" i="7"/>
  <c r="F55" i="7"/>
  <c r="F47" i="7"/>
  <c r="F39" i="7"/>
  <c r="F31" i="7"/>
  <c r="F23" i="7"/>
  <c r="F15" i="7"/>
  <c r="F64" i="7"/>
  <c r="F56" i="7"/>
  <c r="F48" i="7"/>
  <c r="F40" i="7"/>
  <c r="F32" i="7"/>
  <c r="F24" i="7"/>
  <c r="F16" i="7"/>
  <c r="F8" i="7"/>
  <c r="F13" i="7"/>
  <c r="F204" i="4" l="1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91" i="3" l="1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F3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A8" i="1" l="1"/>
  <c r="A9" i="1" s="1"/>
  <c r="D189" i="4" l="1"/>
  <c r="D120" i="4"/>
  <c r="D199" i="4"/>
  <c r="D140" i="4"/>
  <c r="D169" i="4"/>
  <c r="D179" i="4"/>
  <c r="B82" i="4"/>
  <c r="B53" i="4"/>
  <c r="D181" i="4"/>
  <c r="D104" i="4"/>
  <c r="D191" i="4"/>
  <c r="D124" i="4"/>
  <c r="D153" i="4"/>
  <c r="D163" i="4"/>
  <c r="B74" i="4"/>
  <c r="B37" i="4"/>
  <c r="D141" i="4"/>
  <c r="D24" i="4"/>
  <c r="D151" i="4"/>
  <c r="D44" i="4"/>
  <c r="D73" i="4"/>
  <c r="D83" i="4"/>
  <c r="B34" i="4"/>
  <c r="D52" i="3"/>
  <c r="D133" i="4"/>
  <c r="D8" i="4"/>
  <c r="D143" i="4"/>
  <c r="D28" i="4"/>
  <c r="D93" i="4"/>
  <c r="D78" i="4"/>
  <c r="D103" i="4"/>
  <c r="D98" i="4"/>
  <c r="D180" i="4"/>
  <c r="D190" i="4"/>
  <c r="B187" i="4"/>
  <c r="D45" i="3"/>
  <c r="D85" i="4"/>
  <c r="D62" i="4"/>
  <c r="D95" i="4"/>
  <c r="D82" i="4"/>
  <c r="D164" i="4"/>
  <c r="D174" i="4"/>
  <c r="B179" i="4"/>
  <c r="D29" i="3"/>
  <c r="D45" i="4"/>
  <c r="B196" i="4"/>
  <c r="D55" i="4"/>
  <c r="B202" i="4"/>
  <c r="D16" i="4"/>
  <c r="D36" i="4"/>
  <c r="B127" i="4"/>
  <c r="B41" i="3"/>
  <c r="D37" i="4"/>
  <c r="B188" i="4"/>
  <c r="D47" i="4"/>
  <c r="B194" i="4"/>
  <c r="D134" i="4"/>
  <c r="D4" i="4"/>
  <c r="D61" i="3"/>
  <c r="B84" i="4"/>
  <c r="D195" i="4"/>
  <c r="D59" i="3"/>
  <c r="D32" i="4"/>
  <c r="D52" i="4"/>
  <c r="D200" i="4"/>
  <c r="B148" i="4"/>
  <c r="D7" i="4"/>
  <c r="B154" i="4"/>
  <c r="B192" i="4"/>
  <c r="B198" i="4"/>
  <c r="B31" i="4"/>
  <c r="B34" i="3"/>
  <c r="D192" i="4"/>
  <c r="B140" i="4"/>
  <c r="D202" i="4"/>
  <c r="B146" i="4"/>
  <c r="B176" i="4"/>
  <c r="B182" i="4"/>
  <c r="B15" i="4"/>
  <c r="B18" i="3"/>
  <c r="D152" i="4"/>
  <c r="B100" i="4"/>
  <c r="D162" i="4"/>
  <c r="D201" i="4"/>
  <c r="B96" i="4"/>
  <c r="B106" i="4"/>
  <c r="B85" i="4"/>
  <c r="D197" i="4"/>
  <c r="D136" i="4"/>
  <c r="B92" i="4"/>
  <c r="D154" i="4"/>
  <c r="D157" i="4"/>
  <c r="D56" i="4"/>
  <c r="D167" i="4"/>
  <c r="D76" i="4"/>
  <c r="D105" i="4"/>
  <c r="D115" i="4"/>
  <c r="B50" i="4"/>
  <c r="D84" i="3"/>
  <c r="D149" i="4"/>
  <c r="D40" i="4"/>
  <c r="D159" i="4"/>
  <c r="D60" i="4"/>
  <c r="D89" i="4"/>
  <c r="D99" i="4"/>
  <c r="B42" i="4"/>
  <c r="D68" i="3"/>
  <c r="D109" i="4"/>
  <c r="D110" i="4"/>
  <c r="D119" i="4"/>
  <c r="D130" i="4"/>
  <c r="D9" i="4"/>
  <c r="D19" i="4"/>
  <c r="B203" i="4"/>
  <c r="D77" i="3"/>
  <c r="D101" i="4"/>
  <c r="D94" i="4"/>
  <c r="D111" i="4"/>
  <c r="D114" i="4"/>
  <c r="D196" i="4"/>
  <c r="D3" i="4"/>
  <c r="D34" i="3"/>
  <c r="D132" i="4"/>
  <c r="B168" i="4"/>
  <c r="B6" i="4"/>
  <c r="D85" i="3"/>
  <c r="B80" i="4"/>
  <c r="D61" i="4"/>
  <c r="D14" i="4"/>
  <c r="D71" i="4"/>
  <c r="D34" i="4"/>
  <c r="D80" i="4"/>
  <c r="D100" i="4"/>
  <c r="B155" i="4"/>
  <c r="B73" i="3"/>
  <c r="D53" i="4"/>
  <c r="B204" i="4"/>
  <c r="D63" i="4"/>
  <c r="D18" i="4"/>
  <c r="D48" i="4"/>
  <c r="D68" i="4"/>
  <c r="B143" i="4"/>
  <c r="B57" i="3"/>
  <c r="D13" i="4"/>
  <c r="B164" i="4"/>
  <c r="D23" i="4"/>
  <c r="B170" i="4"/>
  <c r="D38" i="4"/>
  <c r="D58" i="4"/>
  <c r="B63" i="4"/>
  <c r="B66" i="3"/>
  <c r="D5" i="4"/>
  <c r="B156" i="4"/>
  <c r="D15" i="4"/>
  <c r="B162" i="4"/>
  <c r="D168" i="4"/>
  <c r="B116" i="4"/>
  <c r="D178" i="4"/>
  <c r="B122" i="4"/>
  <c r="B128" i="4"/>
  <c r="B134" i="4"/>
  <c r="B117" i="4"/>
  <c r="D50" i="3"/>
  <c r="D160" i="4"/>
  <c r="B108" i="4"/>
  <c r="D170" i="4"/>
  <c r="B114" i="4"/>
  <c r="B112" i="4"/>
  <c r="B118" i="4"/>
  <c r="B101" i="4"/>
  <c r="D173" i="4"/>
  <c r="D88" i="4"/>
  <c r="D183" i="4"/>
  <c r="D108" i="4"/>
  <c r="D137" i="4"/>
  <c r="D147" i="4"/>
  <c r="B66" i="4"/>
  <c r="B21" i="4"/>
  <c r="D165" i="4"/>
  <c r="D72" i="4"/>
  <c r="D175" i="4"/>
  <c r="D92" i="4"/>
  <c r="D121" i="4"/>
  <c r="D131" i="4"/>
  <c r="B195" i="4"/>
  <c r="B87" i="3"/>
  <c r="D185" i="4"/>
  <c r="B58" i="4"/>
  <c r="D145" i="4"/>
  <c r="D155" i="4"/>
  <c r="D125" i="4"/>
  <c r="D142" i="4"/>
  <c r="D135" i="4"/>
  <c r="D12" i="4"/>
  <c r="D41" i="4"/>
  <c r="D51" i="4"/>
  <c r="B18" i="4"/>
  <c r="D20" i="3"/>
  <c r="D117" i="4"/>
  <c r="D126" i="4"/>
  <c r="D127" i="4"/>
  <c r="D146" i="4"/>
  <c r="D25" i="4"/>
  <c r="D35" i="4"/>
  <c r="B10" i="4"/>
  <c r="D4" i="3"/>
  <c r="D77" i="4"/>
  <c r="D46" i="4"/>
  <c r="D87" i="4"/>
  <c r="D66" i="4"/>
  <c r="D144" i="4"/>
  <c r="D158" i="4"/>
  <c r="B171" i="4"/>
  <c r="D13" i="3"/>
  <c r="D69" i="4"/>
  <c r="D30" i="4"/>
  <c r="D79" i="4"/>
  <c r="D50" i="4"/>
  <c r="D29" i="4"/>
  <c r="B180" i="4"/>
  <c r="D39" i="4"/>
  <c r="B186" i="4"/>
  <c r="D102" i="4"/>
  <c r="D122" i="4"/>
  <c r="B95" i="4"/>
  <c r="B9" i="3"/>
  <c r="D21" i="4"/>
  <c r="B172" i="4"/>
  <c r="D31" i="4"/>
  <c r="B178" i="4"/>
  <c r="D70" i="4"/>
  <c r="D90" i="4"/>
  <c r="B79" i="4"/>
  <c r="B82" i="3"/>
  <c r="D184" i="4"/>
  <c r="B132" i="4"/>
  <c r="D194" i="4"/>
  <c r="B138" i="4"/>
  <c r="B160" i="4"/>
  <c r="B166" i="4"/>
  <c r="B149" i="4"/>
  <c r="D82" i="3"/>
  <c r="D176" i="4"/>
  <c r="B124" i="4"/>
  <c r="D186" i="4"/>
  <c r="B130" i="4"/>
  <c r="B144" i="4"/>
  <c r="B150" i="4"/>
  <c r="B20" i="4"/>
  <c r="B52" i="3"/>
  <c r="B7" i="4"/>
  <c r="B91" i="4"/>
  <c r="B20" i="3"/>
  <c r="D150" i="4"/>
  <c r="D20" i="4"/>
  <c r="B119" i="4"/>
  <c r="B33" i="3"/>
  <c r="B47" i="4"/>
  <c r="B80" i="3"/>
  <c r="D188" i="4"/>
  <c r="D198" i="4"/>
  <c r="B191" i="4"/>
  <c r="D53" i="3"/>
  <c r="B48" i="4"/>
  <c r="D11" i="3"/>
  <c r="D97" i="4"/>
  <c r="D107" i="4"/>
  <c r="B46" i="4"/>
  <c r="D76" i="3"/>
  <c r="B72" i="3"/>
  <c r="B65" i="4"/>
  <c r="D87" i="3"/>
  <c r="B37" i="3"/>
  <c r="B33" i="4"/>
  <c r="B62" i="3"/>
  <c r="B99" i="4"/>
  <c r="D57" i="4"/>
  <c r="B111" i="4"/>
  <c r="D81" i="4"/>
  <c r="D91" i="4"/>
  <c r="B38" i="4"/>
  <c r="D60" i="3"/>
  <c r="B40" i="3"/>
  <c r="D18" i="3"/>
  <c r="D193" i="4"/>
  <c r="D203" i="4"/>
  <c r="B98" i="4"/>
  <c r="B77" i="4"/>
  <c r="D83" i="3"/>
  <c r="B89" i="3"/>
  <c r="B68" i="4"/>
  <c r="B200" i="4"/>
  <c r="D10" i="4"/>
  <c r="B39" i="4"/>
  <c r="B42" i="3"/>
  <c r="B48" i="3"/>
  <c r="B5" i="4"/>
  <c r="D27" i="4"/>
  <c r="B135" i="4"/>
  <c r="B49" i="3"/>
  <c r="B185" i="4"/>
  <c r="B7" i="3"/>
  <c r="D204" i="4"/>
  <c r="D11" i="4"/>
  <c r="B199" i="4"/>
  <c r="D69" i="3"/>
  <c r="B26" i="4"/>
  <c r="D27" i="3"/>
  <c r="D113" i="4"/>
  <c r="D123" i="4"/>
  <c r="B54" i="4"/>
  <c r="B2" i="4"/>
  <c r="B15" i="3"/>
  <c r="D66" i="3"/>
  <c r="B28" i="4"/>
  <c r="B120" i="4"/>
  <c r="B126" i="4"/>
  <c r="B109" i="4"/>
  <c r="D42" i="3"/>
  <c r="B43" i="4"/>
  <c r="B46" i="3"/>
  <c r="B17" i="4"/>
  <c r="B139" i="4"/>
  <c r="D67" i="3"/>
  <c r="B189" i="4"/>
  <c r="D49" i="3"/>
  <c r="D26" i="4"/>
  <c r="B52" i="4"/>
  <c r="B104" i="4"/>
  <c r="B110" i="4"/>
  <c r="B93" i="4"/>
  <c r="D26" i="3"/>
  <c r="B27" i="4"/>
  <c r="B76" i="4"/>
  <c r="D22" i="4"/>
  <c r="D42" i="4"/>
  <c r="B55" i="4"/>
  <c r="B58" i="3"/>
  <c r="B69" i="4"/>
  <c r="B16" i="3"/>
  <c r="D96" i="4"/>
  <c r="D116" i="4"/>
  <c r="B159" i="4"/>
  <c r="B81" i="3"/>
  <c r="B201" i="4"/>
  <c r="B39" i="3"/>
  <c r="D33" i="4"/>
  <c r="D43" i="4"/>
  <c r="B14" i="4"/>
  <c r="D12" i="3"/>
  <c r="B102" i="4"/>
  <c r="D2" i="4"/>
  <c r="D23" i="3"/>
  <c r="D78" i="3"/>
  <c r="D89" i="3"/>
  <c r="B67" i="3"/>
  <c r="B35" i="4"/>
  <c r="D47" i="3"/>
  <c r="B36" i="3"/>
  <c r="D161" i="4"/>
  <c r="B78" i="4"/>
  <c r="D19" i="3"/>
  <c r="D62" i="3"/>
  <c r="B11" i="4"/>
  <c r="B157" i="4"/>
  <c r="D7" i="3"/>
  <c r="B83" i="4"/>
  <c r="B86" i="3"/>
  <c r="D41" i="3"/>
  <c r="D8" i="3"/>
  <c r="B97" i="4"/>
  <c r="D9" i="3"/>
  <c r="B131" i="4"/>
  <c r="B70" i="3"/>
  <c r="B35" i="3"/>
  <c r="B51" i="4"/>
  <c r="B54" i="3"/>
  <c r="D15" i="3"/>
  <c r="D46" i="3"/>
  <c r="B61" i="3"/>
  <c r="B83" i="3"/>
  <c r="D22" i="3"/>
  <c r="B137" i="4"/>
  <c r="B123" i="4"/>
  <c r="D64" i="4"/>
  <c r="B151" i="4"/>
  <c r="B193" i="4"/>
  <c r="B76" i="3"/>
  <c r="B10" i="3"/>
  <c r="B57" i="4"/>
  <c r="B63" i="3"/>
  <c r="B105" i="4"/>
  <c r="D63" i="3"/>
  <c r="B60" i="3"/>
  <c r="B22" i="3"/>
  <c r="D25" i="3"/>
  <c r="B68" i="3"/>
  <c r="B3" i="4"/>
  <c r="B43" i="3"/>
  <c r="B88" i="3"/>
  <c r="B73" i="4"/>
  <c r="D6" i="3"/>
  <c r="D38" i="3"/>
  <c r="B174" i="4"/>
  <c r="D90" i="3"/>
  <c r="D43" i="3"/>
  <c r="D129" i="4"/>
  <c r="D139" i="4"/>
  <c r="B62" i="4"/>
  <c r="B13" i="4"/>
  <c r="B47" i="3"/>
  <c r="B50" i="3"/>
  <c r="B36" i="4"/>
  <c r="B136" i="4"/>
  <c r="B142" i="4"/>
  <c r="B125" i="4"/>
  <c r="D58" i="3"/>
  <c r="B59" i="4"/>
  <c r="B94" i="4"/>
  <c r="D86" i="4"/>
  <c r="D106" i="4"/>
  <c r="B87" i="4"/>
  <c r="B90" i="3"/>
  <c r="B161" i="4"/>
  <c r="B85" i="3"/>
  <c r="B4" i="3"/>
  <c r="B8" i="3"/>
  <c r="D55" i="3"/>
  <c r="B88" i="4"/>
  <c r="D88" i="3"/>
  <c r="D67" i="4"/>
  <c r="B23" i="3"/>
  <c r="D54" i="4"/>
  <c r="D74" i="4"/>
  <c r="B71" i="4"/>
  <c r="B74" i="3"/>
  <c r="B153" i="4"/>
  <c r="B32" i="3"/>
  <c r="D128" i="4"/>
  <c r="D148" i="4"/>
  <c r="B167" i="4"/>
  <c r="D5" i="3"/>
  <c r="B163" i="4"/>
  <c r="B55" i="3"/>
  <c r="D49" i="4"/>
  <c r="D59" i="4"/>
  <c r="B22" i="4"/>
  <c r="D28" i="3"/>
  <c r="B133" i="4"/>
  <c r="D112" i="4"/>
  <c r="D17" i="4"/>
  <c r="B70" i="4"/>
  <c r="B29" i="4"/>
  <c r="B79" i="3"/>
  <c r="B113" i="4"/>
  <c r="B44" i="4"/>
  <c r="B152" i="4"/>
  <c r="B158" i="4"/>
  <c r="B141" i="4"/>
  <c r="D74" i="3"/>
  <c r="D36" i="3"/>
  <c r="B14" i="3"/>
  <c r="D118" i="4"/>
  <c r="D138" i="4"/>
  <c r="B103" i="4"/>
  <c r="B17" i="3"/>
  <c r="B169" i="4"/>
  <c r="B64" i="3"/>
  <c r="D172" i="4"/>
  <c r="D182" i="4"/>
  <c r="B183" i="4"/>
  <c r="D37" i="3"/>
  <c r="B32" i="4"/>
  <c r="D32" i="3"/>
  <c r="B51" i="3"/>
  <c r="D39" i="3"/>
  <c r="B53" i="3"/>
  <c r="D35" i="3"/>
  <c r="B121" i="4"/>
  <c r="D6" i="4"/>
  <c r="B25" i="3"/>
  <c r="D156" i="4"/>
  <c r="D166" i="4"/>
  <c r="B175" i="4"/>
  <c r="D21" i="3"/>
  <c r="B16" i="4"/>
  <c r="B71" i="3"/>
  <c r="D65" i="4"/>
  <c r="D75" i="4"/>
  <c r="B30" i="4"/>
  <c r="D44" i="3"/>
  <c r="B90" i="4"/>
  <c r="D91" i="3"/>
  <c r="D177" i="4"/>
  <c r="D187" i="4"/>
  <c r="B86" i="4"/>
  <c r="B61" i="4"/>
  <c r="D51" i="3"/>
  <c r="B145" i="4"/>
  <c r="B60" i="4"/>
  <c r="B184" i="4"/>
  <c r="B190" i="4"/>
  <c r="B23" i="4"/>
  <c r="B26" i="3"/>
  <c r="B107" i="4"/>
  <c r="B21" i="3"/>
  <c r="D3" i="3"/>
  <c r="B8" i="4"/>
  <c r="B19" i="3"/>
  <c r="B24" i="4"/>
  <c r="D24" i="3"/>
  <c r="B5" i="3"/>
  <c r="D75" i="3"/>
  <c r="D171" i="4"/>
  <c r="B45" i="4"/>
  <c r="B129" i="4"/>
  <c r="D73" i="3"/>
  <c r="D48" i="3"/>
  <c r="B45" i="3"/>
  <c r="B72" i="4"/>
  <c r="D72" i="3"/>
  <c r="B38" i="3"/>
  <c r="B12" i="4"/>
  <c r="B75" i="3"/>
  <c r="D30" i="3"/>
  <c r="B6" i="3"/>
  <c r="B25" i="4"/>
  <c r="D16" i="3"/>
  <c r="B40" i="4"/>
  <c r="D40" i="3"/>
  <c r="B59" i="3"/>
  <c r="B147" i="4"/>
  <c r="B56" i="4"/>
  <c r="B84" i="3"/>
  <c r="D84" i="4"/>
  <c r="D57" i="3"/>
  <c r="B56" i="3"/>
  <c r="B181" i="4"/>
  <c r="D86" i="3"/>
  <c r="B177" i="4"/>
  <c r="B4" i="4"/>
  <c r="B30" i="3"/>
  <c r="D2" i="3"/>
  <c r="B44" i="3"/>
  <c r="B41" i="4"/>
  <c r="B75" i="4"/>
  <c r="B81" i="4"/>
  <c r="B173" i="4"/>
  <c r="D17" i="3"/>
  <c r="B115" i="4"/>
  <c r="D54" i="3"/>
  <c r="B69" i="3"/>
  <c r="B11" i="3"/>
  <c r="B77" i="3"/>
  <c r="B64" i="4"/>
  <c r="D10" i="3"/>
  <c r="B2" i="3"/>
  <c r="B65" i="3"/>
  <c r="B3" i="3"/>
  <c r="D80" i="3"/>
  <c r="D33" i="3"/>
  <c r="B19" i="4"/>
  <c r="B28" i="3"/>
  <c r="D81" i="3"/>
  <c r="B165" i="4"/>
  <c r="B13" i="3"/>
  <c r="B24" i="3"/>
  <c r="B27" i="3"/>
  <c r="B78" i="3"/>
  <c r="B31" i="3"/>
  <c r="B89" i="4"/>
  <c r="B49" i="4"/>
  <c r="B12" i="3"/>
  <c r="B9" i="4"/>
  <c r="D31" i="3"/>
  <c r="B91" i="3"/>
  <c r="D14" i="3"/>
  <c r="D56" i="3"/>
  <c r="B197" i="4"/>
  <c r="D70" i="3"/>
  <c r="D79" i="3"/>
  <c r="D71" i="3"/>
  <c r="B29" i="3"/>
  <c r="D64" i="3"/>
  <c r="B67" i="4"/>
  <c r="D65" i="3"/>
  <c r="C67" i="4" l="1"/>
  <c r="C197" i="4"/>
  <c r="C9" i="4"/>
  <c r="C49" i="4"/>
  <c r="C31" i="3"/>
  <c r="C27" i="3"/>
  <c r="C13" i="3"/>
  <c r="C28" i="3"/>
  <c r="C3" i="3"/>
  <c r="C2" i="3"/>
  <c r="C77" i="3"/>
  <c r="C69" i="3"/>
  <c r="C173" i="4"/>
  <c r="C75" i="4"/>
  <c r="C44" i="3"/>
  <c r="C4" i="4"/>
  <c r="C181" i="4"/>
  <c r="C84" i="3"/>
  <c r="C147" i="4"/>
  <c r="C40" i="4"/>
  <c r="C6" i="3"/>
  <c r="C12" i="4"/>
  <c r="C72" i="4"/>
  <c r="C129" i="4"/>
  <c r="C5" i="3"/>
  <c r="C19" i="3"/>
  <c r="C21" i="3"/>
  <c r="C26" i="3"/>
  <c r="C190" i="4"/>
  <c r="C60" i="4"/>
  <c r="C61" i="4"/>
  <c r="C90" i="4"/>
  <c r="C71" i="3"/>
  <c r="C175" i="4"/>
  <c r="C121" i="4"/>
  <c r="C51" i="3"/>
  <c r="C183" i="4"/>
  <c r="C169" i="4"/>
  <c r="C103" i="4"/>
  <c r="C141" i="4"/>
  <c r="C152" i="4"/>
  <c r="C113" i="4"/>
  <c r="C29" i="4"/>
  <c r="C133" i="4"/>
  <c r="C55" i="3"/>
  <c r="C167" i="4"/>
  <c r="C153" i="4"/>
  <c r="C71" i="4"/>
  <c r="C88" i="4"/>
  <c r="C4" i="3"/>
  <c r="C161" i="4"/>
  <c r="C87" i="4"/>
  <c r="C59" i="4"/>
  <c r="C142" i="4"/>
  <c r="C36" i="4"/>
  <c r="C47" i="3"/>
  <c r="C62" i="4"/>
  <c r="C73" i="4"/>
  <c r="C43" i="3"/>
  <c r="C68" i="3"/>
  <c r="C60" i="3"/>
  <c r="C63" i="3"/>
  <c r="C10" i="3"/>
  <c r="C193" i="4"/>
  <c r="C123" i="4"/>
  <c r="C83" i="3"/>
  <c r="C54" i="3"/>
  <c r="C35" i="3"/>
  <c r="C131" i="4"/>
  <c r="C86" i="3"/>
  <c r="C157" i="4"/>
  <c r="C78" i="4"/>
  <c r="C35" i="4"/>
  <c r="C102" i="4"/>
  <c r="C39" i="3"/>
  <c r="C81" i="3"/>
  <c r="C16" i="3"/>
  <c r="C58" i="3"/>
  <c r="C76" i="4"/>
  <c r="C93" i="4"/>
  <c r="C104" i="4"/>
  <c r="C189" i="4"/>
  <c r="C17" i="4"/>
  <c r="C43" i="4"/>
  <c r="C126" i="4"/>
  <c r="C28" i="4"/>
  <c r="C2" i="4"/>
  <c r="C26" i="4"/>
  <c r="C7" i="3"/>
  <c r="C49" i="3"/>
  <c r="C5" i="4"/>
  <c r="C42" i="3"/>
  <c r="C200" i="4"/>
  <c r="C89" i="3"/>
  <c r="C98" i="4"/>
  <c r="C38" i="4"/>
  <c r="C99" i="4"/>
  <c r="C33" i="4"/>
  <c r="C65" i="4"/>
  <c r="C46" i="4"/>
  <c r="C191" i="4"/>
  <c r="C47" i="4"/>
  <c r="C119" i="4"/>
  <c r="C91" i="4"/>
  <c r="C52" i="3"/>
  <c r="C150" i="4"/>
  <c r="C130" i="4"/>
  <c r="C149" i="4"/>
  <c r="C160" i="4"/>
  <c r="C132" i="4"/>
  <c r="C79" i="4"/>
  <c r="C172" i="4"/>
  <c r="C95" i="4"/>
  <c r="C180" i="4"/>
  <c r="C10" i="4"/>
  <c r="C58" i="4"/>
  <c r="C195" i="4"/>
  <c r="C66" i="4"/>
  <c r="C118" i="4"/>
  <c r="C114" i="4"/>
  <c r="C117" i="4"/>
  <c r="C128" i="4"/>
  <c r="C116" i="4"/>
  <c r="C156" i="4"/>
  <c r="C63" i="4"/>
  <c r="C164" i="4"/>
  <c r="C143" i="4"/>
  <c r="C73" i="3"/>
  <c r="C80" i="4"/>
  <c r="C168" i="4"/>
  <c r="C42" i="4"/>
  <c r="C92" i="4"/>
  <c r="C106" i="4"/>
  <c r="C100" i="4"/>
  <c r="C15" i="4"/>
  <c r="C176" i="4"/>
  <c r="C140" i="4"/>
  <c r="C31" i="4"/>
  <c r="C192" i="4"/>
  <c r="C148" i="4"/>
  <c r="C194" i="4"/>
  <c r="C41" i="3"/>
  <c r="C202" i="4"/>
  <c r="C179" i="4"/>
  <c r="C74" i="4"/>
  <c r="C29" i="3"/>
  <c r="C91" i="3"/>
  <c r="C12" i="3"/>
  <c r="C89" i="4"/>
  <c r="C78" i="3"/>
  <c r="C24" i="3"/>
  <c r="C165" i="4"/>
  <c r="C19" i="4"/>
  <c r="C65" i="3"/>
  <c r="C64" i="4"/>
  <c r="C11" i="3"/>
  <c r="C115" i="4"/>
  <c r="C81" i="4"/>
  <c r="C41" i="4"/>
  <c r="C30" i="3"/>
  <c r="C177" i="4"/>
  <c r="C56" i="3"/>
  <c r="C56" i="4"/>
  <c r="C59" i="3"/>
  <c r="C25" i="4"/>
  <c r="C75" i="3"/>
  <c r="C38" i="3"/>
  <c r="C45" i="3"/>
  <c r="C45" i="4"/>
  <c r="C24" i="4"/>
  <c r="C8" i="4"/>
  <c r="C107" i="4"/>
  <c r="C23" i="4"/>
  <c r="C184" i="4"/>
  <c r="C145" i="4"/>
  <c r="C86" i="4"/>
  <c r="C30" i="4"/>
  <c r="C16" i="4"/>
  <c r="C25" i="3"/>
  <c r="C53" i="3"/>
  <c r="C32" i="4"/>
  <c r="C64" i="3"/>
  <c r="C17" i="3"/>
  <c r="C14" i="3"/>
  <c r="C158" i="4"/>
  <c r="C44" i="4"/>
  <c r="C79" i="3"/>
  <c r="C70" i="4"/>
  <c r="C22" i="4"/>
  <c r="C163" i="4"/>
  <c r="C32" i="3"/>
  <c r="C74" i="3"/>
  <c r="C23" i="3"/>
  <c r="C8" i="3"/>
  <c r="C85" i="3"/>
  <c r="C90" i="3"/>
  <c r="C94" i="4"/>
  <c r="C125" i="4"/>
  <c r="C136" i="4"/>
  <c r="C50" i="3"/>
  <c r="C13" i="4"/>
  <c r="C174" i="4"/>
  <c r="C88" i="3"/>
  <c r="C3" i="4"/>
  <c r="C22" i="3"/>
  <c r="C105" i="4"/>
  <c r="C57" i="4"/>
  <c r="C76" i="3"/>
  <c r="C151" i="4"/>
  <c r="C137" i="4"/>
  <c r="C61" i="3"/>
  <c r="C51" i="4"/>
  <c r="C70" i="3"/>
  <c r="C97" i="4"/>
  <c r="C83" i="4"/>
  <c r="C11" i="4"/>
  <c r="C36" i="3"/>
  <c r="C67" i="3"/>
  <c r="C14" i="4"/>
  <c r="C201" i="4"/>
  <c r="C159" i="4"/>
  <c r="C69" i="4"/>
  <c r="C55" i="4"/>
  <c r="C27" i="4"/>
  <c r="C110" i="4"/>
  <c r="C52" i="4"/>
  <c r="C139" i="4"/>
  <c r="C46" i="3"/>
  <c r="C109" i="4"/>
  <c r="C120" i="4"/>
  <c r="C15" i="3"/>
  <c r="C54" i="4"/>
  <c r="C199" i="4"/>
  <c r="C185" i="4"/>
  <c r="C135" i="4"/>
  <c r="C48" i="3"/>
  <c r="C39" i="4"/>
  <c r="C68" i="4"/>
  <c r="C77" i="4"/>
  <c r="C40" i="3"/>
  <c r="C111" i="4"/>
  <c r="C62" i="3"/>
  <c r="C37" i="3"/>
  <c r="C72" i="3"/>
  <c r="C48" i="4"/>
  <c r="C80" i="3"/>
  <c r="C33" i="3"/>
  <c r="C20" i="3"/>
  <c r="C7" i="4"/>
  <c r="C20" i="4"/>
  <c r="C144" i="4"/>
  <c r="C124" i="4"/>
  <c r="C166" i="4"/>
  <c r="C138" i="4"/>
  <c r="C82" i="3"/>
  <c r="C178" i="4"/>
  <c r="C9" i="3"/>
  <c r="C186" i="4"/>
  <c r="C171" i="4"/>
  <c r="C18" i="4"/>
  <c r="C87" i="3"/>
  <c r="C21" i="4"/>
  <c r="C101" i="4"/>
  <c r="C112" i="4"/>
  <c r="C108" i="4"/>
  <c r="C134" i="4"/>
  <c r="C122" i="4"/>
  <c r="C162" i="4"/>
  <c r="C66" i="3"/>
  <c r="C170" i="4"/>
  <c r="C57" i="3"/>
  <c r="C204" i="4"/>
  <c r="C155" i="4"/>
  <c r="C6" i="4"/>
  <c r="C203" i="4"/>
  <c r="C50" i="4"/>
  <c r="C85" i="4"/>
  <c r="C96" i="4"/>
  <c r="C18" i="3"/>
  <c r="C182" i="4"/>
  <c r="C146" i="4"/>
  <c r="C34" i="3"/>
  <c r="C198" i="4"/>
  <c r="C154" i="4"/>
  <c r="C84" i="4"/>
  <c r="C188" i="4"/>
  <c r="C127" i="4"/>
  <c r="C196" i="4"/>
  <c r="C187" i="4"/>
  <c r="C37" i="4"/>
  <c r="C53" i="4"/>
  <c r="C34" i="4"/>
  <c r="C82" i="4"/>
  <c r="J82" i="4" l="1"/>
  <c r="J34" i="4"/>
  <c r="J53" i="4"/>
  <c r="J37" i="4"/>
  <c r="J187" i="4"/>
  <c r="J196" i="4"/>
  <c r="J127" i="4"/>
  <c r="J188" i="4"/>
  <c r="J84" i="4"/>
  <c r="J154" i="4"/>
  <c r="J198" i="4"/>
  <c r="J34" i="3"/>
  <c r="J146" i="4"/>
  <c r="J182" i="4"/>
  <c r="J18" i="3"/>
  <c r="J96" i="4"/>
  <c r="J85" i="4"/>
  <c r="J50" i="4"/>
  <c r="J203" i="4"/>
  <c r="J6" i="4"/>
  <c r="J155" i="4"/>
  <c r="J204" i="4"/>
  <c r="J57" i="3"/>
  <c r="J170" i="4"/>
  <c r="J66" i="3"/>
  <c r="J162" i="4"/>
  <c r="J122" i="4"/>
  <c r="J134" i="4"/>
  <c r="J108" i="4"/>
  <c r="J112" i="4"/>
  <c r="J101" i="4"/>
  <c r="J21" i="4"/>
  <c r="J87" i="3"/>
  <c r="J18" i="4"/>
  <c r="J171" i="4"/>
  <c r="J186" i="4"/>
  <c r="J9" i="3"/>
  <c r="J178" i="4"/>
  <c r="J82" i="3"/>
  <c r="J138" i="4"/>
  <c r="J166" i="4"/>
  <c r="J124" i="4"/>
  <c r="J144" i="4"/>
  <c r="J20" i="4"/>
  <c r="J7" i="4"/>
  <c r="J20" i="3"/>
  <c r="J33" i="3"/>
  <c r="J80" i="3"/>
  <c r="J48" i="4"/>
  <c r="J72" i="3"/>
  <c r="J37" i="3"/>
  <c r="J62" i="3"/>
  <c r="J111" i="4"/>
  <c r="J40" i="3"/>
  <c r="J77" i="4"/>
  <c r="J68" i="4"/>
  <c r="J39" i="4"/>
  <c r="J48" i="3"/>
  <c r="J135" i="4"/>
  <c r="J185" i="4"/>
  <c r="J199" i="4"/>
  <c r="J54" i="4"/>
  <c r="J15" i="3"/>
  <c r="J120" i="4"/>
  <c r="J109" i="4"/>
  <c r="J46" i="3"/>
  <c r="J139" i="4"/>
  <c r="J52" i="4"/>
  <c r="J110" i="4"/>
  <c r="J27" i="4"/>
  <c r="J55" i="4"/>
  <c r="J69" i="4"/>
  <c r="J159" i="4"/>
  <c r="J201" i="4"/>
  <c r="J14" i="4"/>
  <c r="J67" i="3"/>
  <c r="J36" i="3"/>
  <c r="J11" i="4"/>
  <c r="J83" i="4"/>
  <c r="J97" i="4"/>
  <c r="J70" i="3"/>
  <c r="J51" i="4"/>
  <c r="J61" i="3"/>
  <c r="J137" i="4"/>
  <c r="J151" i="4"/>
  <c r="J76" i="3"/>
  <c r="J57" i="4"/>
  <c r="J105" i="4"/>
  <c r="J22" i="3"/>
  <c r="J3" i="4"/>
  <c r="J88" i="3"/>
  <c r="J174" i="4"/>
  <c r="J13" i="4"/>
  <c r="J50" i="3"/>
  <c r="J136" i="4"/>
  <c r="J125" i="4"/>
  <c r="J94" i="4"/>
  <c r="J90" i="3"/>
  <c r="J85" i="3"/>
  <c r="J8" i="3"/>
  <c r="J23" i="3"/>
  <c r="J74" i="3"/>
  <c r="J32" i="3"/>
  <c r="J163" i="4"/>
  <c r="J22" i="4"/>
  <c r="J70" i="4"/>
  <c r="J79" i="3"/>
  <c r="J44" i="4"/>
  <c r="J158" i="4"/>
  <c r="J14" i="3"/>
  <c r="J17" i="3"/>
  <c r="J64" i="3"/>
  <c r="J32" i="4"/>
  <c r="J53" i="3"/>
  <c r="J25" i="3"/>
  <c r="J16" i="4"/>
  <c r="J30" i="4"/>
  <c r="J86" i="4"/>
  <c r="J145" i="4"/>
  <c r="J184" i="4"/>
  <c r="J23" i="4"/>
  <c r="J107" i="4"/>
  <c r="J8" i="4"/>
  <c r="J24" i="4"/>
  <c r="J45" i="4"/>
  <c r="J45" i="3"/>
  <c r="J38" i="3"/>
  <c r="J75" i="3"/>
  <c r="J25" i="4"/>
  <c r="J59" i="3"/>
  <c r="J56" i="4"/>
  <c r="J56" i="3"/>
  <c r="J177" i="4"/>
  <c r="J30" i="3"/>
  <c r="J41" i="4"/>
  <c r="J81" i="4"/>
  <c r="J115" i="4"/>
  <c r="J11" i="3"/>
  <c r="J64" i="4"/>
  <c r="J65" i="3"/>
  <c r="J19" i="4"/>
  <c r="J165" i="4"/>
  <c r="J24" i="3"/>
  <c r="J78" i="3"/>
  <c r="J89" i="4"/>
  <c r="J12" i="3"/>
  <c r="J91" i="3"/>
  <c r="J29" i="3"/>
  <c r="J74" i="4"/>
  <c r="J179" i="4"/>
  <c r="J202" i="4"/>
  <c r="J41" i="3"/>
  <c r="J194" i="4"/>
  <c r="J148" i="4"/>
  <c r="J192" i="4"/>
  <c r="J31" i="4"/>
  <c r="J140" i="4"/>
  <c r="J176" i="4"/>
  <c r="J15" i="4"/>
  <c r="J100" i="4"/>
  <c r="J106" i="4"/>
  <c r="J92" i="4"/>
  <c r="J42" i="4"/>
  <c r="J168" i="4"/>
  <c r="J80" i="4"/>
  <c r="J73" i="3"/>
  <c r="J143" i="4"/>
  <c r="J164" i="4"/>
  <c r="J63" i="4"/>
  <c r="J156" i="4"/>
  <c r="J116" i="4"/>
  <c r="J128" i="4"/>
  <c r="J117" i="4"/>
  <c r="J114" i="4"/>
  <c r="J118" i="4"/>
  <c r="J66" i="4"/>
  <c r="J195" i="4"/>
  <c r="J58" i="4"/>
  <c r="J10" i="4"/>
  <c r="J180" i="4"/>
  <c r="J95" i="4"/>
  <c r="J172" i="4"/>
  <c r="J79" i="4"/>
  <c r="J132" i="4"/>
  <c r="J160" i="4"/>
  <c r="J149" i="4"/>
  <c r="J130" i="4"/>
  <c r="J150" i="4"/>
  <c r="J52" i="3"/>
  <c r="J91" i="4"/>
  <c r="J119" i="4"/>
  <c r="J47" i="4"/>
  <c r="J191" i="4"/>
  <c r="J46" i="4"/>
  <c r="J65" i="4"/>
  <c r="J33" i="4"/>
  <c r="J99" i="4"/>
  <c r="J38" i="4"/>
  <c r="J98" i="4"/>
  <c r="J89" i="3"/>
  <c r="J200" i="4"/>
  <c r="J42" i="3"/>
  <c r="J5" i="4"/>
  <c r="J49" i="3"/>
  <c r="J7" i="3"/>
  <c r="J26" i="4"/>
  <c r="J2" i="4"/>
  <c r="J28" i="4"/>
  <c r="J126" i="4"/>
  <c r="J43" i="4"/>
  <c r="J17" i="4"/>
  <c r="J189" i="4"/>
  <c r="J104" i="4"/>
  <c r="J93" i="4"/>
  <c r="J76" i="4"/>
  <c r="J58" i="3"/>
  <c r="J16" i="3"/>
  <c r="J81" i="3"/>
  <c r="J39" i="3"/>
  <c r="J102" i="4"/>
  <c r="J35" i="4"/>
  <c r="J78" i="4"/>
  <c r="J157" i="4"/>
  <c r="J86" i="3"/>
  <c r="J131" i="4"/>
  <c r="J35" i="3"/>
  <c r="J54" i="3"/>
  <c r="J83" i="3"/>
  <c r="J123" i="4"/>
  <c r="J193" i="4"/>
  <c r="J10" i="3"/>
  <c r="J63" i="3"/>
  <c r="J60" i="3"/>
  <c r="J68" i="3"/>
  <c r="J43" i="3"/>
  <c r="J73" i="4"/>
  <c r="J62" i="4"/>
  <c r="J47" i="3"/>
  <c r="J36" i="4"/>
  <c r="J142" i="4"/>
  <c r="J59" i="4"/>
  <c r="J87" i="4"/>
  <c r="J161" i="4"/>
  <c r="J4" i="3"/>
  <c r="J88" i="4"/>
  <c r="J71" i="4"/>
  <c r="J153" i="4"/>
  <c r="J167" i="4"/>
  <c r="J55" i="3"/>
  <c r="J133" i="4"/>
  <c r="J29" i="4"/>
  <c r="J113" i="4"/>
  <c r="J152" i="4"/>
  <c r="J141" i="4"/>
  <c r="J103" i="4"/>
  <c r="J169" i="4"/>
  <c r="J183" i="4"/>
  <c r="J51" i="3"/>
  <c r="J121" i="4"/>
  <c r="J175" i="4"/>
  <c r="J71" i="3"/>
  <c r="J90" i="4"/>
  <c r="J61" i="4"/>
  <c r="J60" i="4"/>
  <c r="J190" i="4"/>
  <c r="J26" i="3"/>
  <c r="J21" i="3"/>
  <c r="J19" i="3"/>
  <c r="J5" i="3"/>
  <c r="J129" i="4"/>
  <c r="J72" i="4"/>
  <c r="J12" i="4"/>
  <c r="J6" i="3"/>
  <c r="J40" i="4"/>
  <c r="J147" i="4"/>
  <c r="J84" i="3"/>
  <c r="J181" i="4"/>
  <c r="J4" i="4"/>
  <c r="J44" i="3"/>
  <c r="J75" i="4"/>
  <c r="J173" i="4"/>
  <c r="J69" i="3"/>
  <c r="J77" i="3"/>
  <c r="J2" i="3"/>
  <c r="J3" i="3"/>
  <c r="J28" i="3"/>
  <c r="J13" i="3"/>
  <c r="J27" i="3"/>
  <c r="J31" i="3"/>
  <c r="J49" i="4"/>
  <c r="J9" i="4"/>
  <c r="J197" i="4"/>
  <c r="J67" i="4"/>
</calcChain>
</file>

<file path=xl/sharedStrings.xml><?xml version="1.0" encoding="utf-8"?>
<sst xmlns="http://schemas.openxmlformats.org/spreadsheetml/2006/main" count="2341" uniqueCount="769">
  <si>
    <t>Legend</t>
  </si>
  <si>
    <t>In Progress</t>
  </si>
  <si>
    <t>Ready to Test</t>
  </si>
  <si>
    <t>Done</t>
  </si>
  <si>
    <t>Step</t>
  </si>
  <si>
    <t>Action</t>
  </si>
  <si>
    <t>Reference</t>
  </si>
  <si>
    <t>Comment</t>
  </si>
  <si>
    <t>Status</t>
  </si>
  <si>
    <t>Fully Qualified File Name</t>
  </si>
  <si>
    <t>Line</t>
  </si>
  <si>
    <t>Text</t>
  </si>
  <si>
    <t>C:\Documents and Settings\DAG\My Documents\Visual Studio 2010\Projects\Console_Apps\EZSMTPMM\EZSMTPMM\MailMergeEngine.cs</t>
  </si>
  <si>
    <t xml:space="preserve">                 ThreadSafeExceptionReporting.ReportException (</t>
  </si>
  <si>
    <t>C:\Documents and Settings\DAG\My Documents\Visual Studio 2010\Projects\Console_Apps\EZSMTPMM\EZSMTPMM\Program.cs</t>
  </si>
  <si>
    <t xml:space="preserve">                     ThreadSafeExceptionReporting.ReportException (</t>
  </si>
  <si>
    <t>C:\Documents and Settings\DAG\My Documents\Visual Studio 2010\Projects\Console_Apps\MultiCat\MultiCat\Program.cs</t>
  </si>
  <si>
    <t xml:space="preserve">                 WizardWrx.ThreadSafeExceptionReporting.ReportException (</t>
  </si>
  <si>
    <t>C:\Documents and Settings\DAG\My Documents\Visual Studio 2010\Projects\Console_Apps\STAMPLOG\STAMPLOG\Program.cs</t>
  </si>
  <si>
    <t xml:space="preserve">                         ThreadSafeExceptionReporting.ReportException (</t>
  </si>
  <si>
    <t>C:\Documents and Settings\DAG\My Documents\Visual Studio 2010\Projects\Console_Apps\WWRegStrToLocalEnv\WWRegStrToLocalEnv\Program.cs</t>
  </si>
  <si>
    <t>C:\Documents and Settings\DAG\My Documents\Visual Studio 2010\Projects\NOLANB\EZXFERCloudReporter\EZXFERCloudReporter\Program.cs</t>
  </si>
  <si>
    <t>C:\Documents and Settings\DAG\My Documents\Visual Studio 2010\Projects\NOLANB\EZXFER_Cloud_Manager\EZXFER_Cloud_Manager\OperatingSettings.cs</t>
  </si>
  <si>
    <t>C:\Documents and Settings\DAG\My Documents\Visual Studio 2010\Projects\NOLANB\EZXFER_Cloud_Manager\EZXFER_Cloud_Manager\Program.cs</t>
  </si>
  <si>
    <t>C:\Documents and Settings\DAG\My Documents\Visual Studio 2010\Projects\NOLANB\NBGetRC\NBGetRC\Program.cs</t>
  </si>
  <si>
    <t xml:space="preserve">                                 WizardWrx.ThreadSafeExceptionReporting.ReportException (</t>
  </si>
  <si>
    <t>C:\Documents and Settings\DAG\My Documents\Visual Studio 2010\Projects\NOLANB\NBReplT\NBReplT\Program.cs</t>
  </si>
  <si>
    <t xml:space="preserve">                                 string strMsg = ExceptionReporting.ReportException (</t>
  </si>
  <si>
    <t xml:space="preserve">                 string strMsg = ExceptionReporting.ReportException (</t>
  </si>
  <si>
    <t>C:\Documents and Settings\DAG\My Documents\Visual Studio 2010\Projects\Tools_for_Programmers\AssemblyReferenceFixup\AssemblyReferenceFixup\Program.cs</t>
  </si>
  <si>
    <t xml:space="preserve">                     WizardWrx.ThreadSafeExceptionReporting.ReportException (</t>
  </si>
  <si>
    <t>C:\Documents and Settings\DAG\My Documents\Visual Studio 2010\Projects\WizardWrx_Libs\ApplicationHelpers\ApplicationHelpers\ExceptionLogger.cs</t>
  </si>
  <si>
    <t xml:space="preserve">                         ThreadSafeExceptionReporting, which is intended to</t>
  </si>
  <si>
    <t xml:space="preserve">      2011/11/12 2.8     DAG/WW Move ThreadSafeExceptionReporting from SharedUtl2,</t>
  </si>
  <si>
    <t>C:\Documents and Settings\DAG\My Documents\Visual Studio 2010\Projects\WizardWrx_Libs\ConsoleAppAids\ConsoleAppAids\ExceptionReporting.cs</t>
  </si>
  <si>
    <t xml:space="preserve">    File Name:          ExceptionReporting.cs</t>
  </si>
  <si>
    <t xml:space="preserve">    Class Name:         ExceptionReporting</t>
  </si>
  <si>
    <t xml:space="preserve">                       utility class, ExceptionReporting (originally called</t>
  </si>
  <si>
    <t xml:space="preserve">                         ThreadSafeExceptionReporting), which is intended to</t>
  </si>
  <si>
    <t xml:space="preserve">   2012/09/16 3.1     DAG/WW Move ThreadSafeExceptionReporting from SharedUtl2,</t>
  </si>
  <si>
    <t xml:space="preserve">                               rename it ExceptionReporting, and change methods</t>
  </si>
  <si>
    <t xml:space="preserve">  public sealed class ExceptionReporting</t>
  </si>
  <si>
    <t xml:space="preserve">     }    // public sealed class ExceptionReporting</t>
  </si>
  <si>
    <t>C:\Documents and Settings\DAG\My Documents\Visual Studio 2010\Projects\WizardWrx_Libs\ConsoleAppAids\ConsoleAppAids\ConsoleAppAids.csproj</t>
  </si>
  <si>
    <t xml:space="preserve">     &lt;Compile Include="ExceptionReporting.cs" /&gt;</t>
  </si>
  <si>
    <t>C:\Documents and Settings\DAG\My Documents\Visual Studio 2010\Projects\WizardWrx_Libs\ConsoleAppAids\TestStand\Program.cs</t>
  </si>
  <si>
    <t xml:space="preserve">                     ExerciseColorExceptionReporting ( );</t>
  </si>
  <si>
    <t xml:space="preserve">         private static void ExerciseColorExceptionReporting ( )</t>
  </si>
  <si>
    <t xml:space="preserve">                         ExceptionReporting.ErrorMessageColor = msgColors;</t>
  </si>
  <si>
    <t xml:space="preserve">                             WizardWrx.ConsoleAppAids.ExceptionReporting.ReportException (</t>
  </si>
  <si>
    <t xml:space="preserve">         }   // private static void ExerciseColorExceptionReporting</t>
  </si>
  <si>
    <t>C:\Documents and Settings\DAG\My Documents\Visual Studio 2010\Projects\WizardWrx_Libs\CSV_Parsing\LumenWorks_vs_DDR\LumenWorks_vs_DDR\Program.cs</t>
  </si>
  <si>
    <t>C:\Documents and Settings\DAG\My Documents\Visual Studio 2010\Projects\WizardWrx_Libs\SharedUtl2\SharedUtl2\ThreadSafeExceptionReporting.cs</t>
  </si>
  <si>
    <t xml:space="preserve">     File Name:          ThreadSafeExceptionReporting.cs</t>
  </si>
  <si>
    <t xml:space="preserve">     Namespace Name:     ThreadSafeExceptionReporting</t>
  </si>
  <si>
    <t xml:space="preserve">                         utility class, ThreadSafeExceptionReporting, which is</t>
  </si>
  <si>
    <t xml:space="preserve">    public static class ThreadSafeExceptionReporting</t>
  </si>
  <si>
    <t xml:space="preserve">     }  //  End of ThreadSafeExceptionReporting class</t>
  </si>
  <si>
    <t>C:\Documents and Settings\DAG\My Documents\Visual Studio 2010\Projects\WizardWrx_Libs\SharedUtl2\SharedUtl2\SharedUtl2.csproj</t>
  </si>
  <si>
    <t xml:space="preserve">     &lt;Compile Include="ThreadSafeExceptionReporting.cs" /&gt;</t>
  </si>
  <si>
    <t>C:\Documents and Settings\DAG\My Documents\Visual Studio 2010\Projects\WizardWrx_Libs\SharedUtl2\SharedUtl2_Mutex_Tester\Program.cs</t>
  </si>
  <si>
    <t xml:space="preserve">             WizardWrx.ThreadSafeExceptionReporting.ReportException (</t>
  </si>
  <si>
    <t>C:\Documents and Settings\DAG\My Documents\Visual Studio 2010\Projects\WizardWrx_Libs\SharedUtl2\SharedUtl2_Test_Harness\SharedUtl2_Test_Harness\HTMLDocsDivisonsWorkout.cs</t>
  </si>
  <si>
    <t>C:\Documents and Settings\DAG\My Documents\Visual Studio 2010\Projects\WizardWrx_Libs\SharedUtl2\SharedUtl2_Test_Harness\SharedUtl2_Test_Harness\Program.cs</t>
  </si>
  <si>
    <t xml:space="preserve">                               and build against the ThreadSafeExceptionReporting</t>
  </si>
  <si>
    <t>C:\Documents and Settings\DAG\My Documents\Visual Studio 2010\Projects\WizardWrx_Libs\SharedUtl2\SharedUtl2_Test_Harness\SharedUtl2_Test_Harness\WholeFileReader.cs</t>
  </si>
  <si>
    <t>C:\Documents and Settings\DAG\My Documents\Visual Studio 2010\Projects\WizardWrx_Libs\SharedUtl2\WWDelimitedTextReader\WWDelimitedTextReader\Program.cs</t>
  </si>
  <si>
    <t>C:\Documents and Settings\DAG\My Documents\Visual Studio 2010\Projects\WizardWrx_Libs\WebApp\WebAppLibTestHarness\WebAppLibTestHarness\Program.cs</t>
  </si>
  <si>
    <t xml:space="preserve">                         WizardWrx.ThreadSafeExceptionReporting.ReportException (</t>
  </si>
  <si>
    <t>C:\Documents and Settings\DAG\My Documents\Visual Studio 2010\Projects\WizardWrx_Libs\WWDate2FN\WWDate2FNTestStand\Program.cs</t>
  </si>
  <si>
    <t>C:\Documents and Settings\DAG\My Documents\Visual Studio 2010\Projects\_Laboratory\_MyPlayPen\_MyPlayPen\Program.cs</t>
  </si>
  <si>
    <t>C:\Documents and Settings\DAG\My Documents\Visual Studio 2010\Projects\_TESTING WizardWrx Libs\SharedUtl2\SharedUtl2\ThreadSafeExceptionReporting.cs</t>
  </si>
  <si>
    <t xml:space="preserve">    File Name:          ThreadSafeExceptionReporting.cs</t>
  </si>
  <si>
    <t xml:space="preserve">    Namespace Name:     ThreadSafeExceptionReporting</t>
  </si>
  <si>
    <t xml:space="preserve">                        utility class, ThreadSafeExceptionReporting, which is</t>
  </si>
  <si>
    <t xml:space="preserve">   public static class ThreadSafeExceptionReporting</t>
  </si>
  <si>
    <t xml:space="preserve">     } //  End of ThreadSafeExceptionReporting class</t>
  </si>
  <si>
    <t>C:\Documents and Settings\DAG\My Documents\Visual Studio 2010\Projects\_TESTING WizardWrx Libs\SharedUtl2\SharedUtl2\SharedUtl2.csproj</t>
  </si>
  <si>
    <t>C:\Documents and Settings\DAG\My Documents\Visual Studio 2010\Projects\_TESTING WizardWrx Libs\SharedUtl2\SharedUtl2_Mutex_Tester\Program.cs</t>
  </si>
  <si>
    <t>C:\Documents and Settings\DAG\My Documents\Visual Studio 2010\Projects\_TESTING WizardWrx Libs\SharedUtl2\SharedUtl2_Test_Harness\SharedUtl2_Test_Harness\HTMLDocsDivisonsWorkout.cs</t>
  </si>
  <si>
    <t>C:\Documents and Settings\DAG\My Documents\Visual Studio 2010\Projects\_TESTING WizardWrx Libs\SharedUtl2\SharedUtl2_Test_Harness\SharedUtl2_Test_Harness\WholeFileReader.cs</t>
  </si>
  <si>
    <t>Fully Qualified Directory Name</t>
  </si>
  <si>
    <t>C:\Documents and Settings\DAG\My Documents\Visual Studio 2010\Projects</t>
  </si>
  <si>
    <t>Visual Studio Source Code</t>
  </si>
  <si>
    <t>Relative Directory Name</t>
  </si>
  <si>
    <t>Unqualified File Name</t>
  </si>
  <si>
    <t>C:\Documents and Settings\DAG\My Documents\Visual Studio 2010\Projects\Console_Apps\EZSMTPMM\EZSMTPMM</t>
  </si>
  <si>
    <t>Console_Apps\EZSMTPMM\EZSMTPMM</t>
  </si>
  <si>
    <t>MailMergeEngine.cs</t>
  </si>
  <si>
    <t>Program.cs</t>
  </si>
  <si>
    <t>C:\Documents and Settings\DAG\My Documents\Visual Studio 2010\Projects\Console_Apps\MultiCat\MultiCat</t>
  </si>
  <si>
    <t>Console_Apps\MultiCat\MultiCat</t>
  </si>
  <si>
    <t>C:\Documents and Settings\DAG\My Documents\Visual Studio 2010\Projects\Console_Apps\STAMPLOG\STAMPLOG</t>
  </si>
  <si>
    <t>Console_Apps\STAMPLOG\STAMPLOG</t>
  </si>
  <si>
    <t>C:\Documents and Settings\DAG\My Documents\Visual Studio 2010\Projects\Console_Apps\WWRegStrToLocalEnv\WWRegStrToLocalEnv</t>
  </si>
  <si>
    <t>Console_Apps\WWRegStrToLocalEnv\WWRegStrToLocalEnv</t>
  </si>
  <si>
    <t>C:\Documents and Settings\DAG\My Documents\Visual Studio 2010\Projects\NOLANB\EZXFERCloudReporter\EZXFERCloudReporter</t>
  </si>
  <si>
    <t>NOLANB\EZXFERCloudReporter\EZXFERCloudReporter</t>
  </si>
  <si>
    <t>C:\Documents and Settings\DAG\My Documents\Visual Studio 2010\Projects\NOLANB\EZXFER_Cloud_Manager\EZXFER_Cloud_Manager</t>
  </si>
  <si>
    <t>NOLANB\EZXFER_Cloud_Manager\EZXFER_Cloud_Manager</t>
  </si>
  <si>
    <t>OperatingSettings.cs</t>
  </si>
  <si>
    <t>C:\Documents and Settings\DAG\My Documents\Visual Studio 2010\Projects\NOLANB\NBGetRC\NBGetRC</t>
  </si>
  <si>
    <t>NOLANB\NBGetRC\NBGetRC</t>
  </si>
  <si>
    <t>C:\Documents and Settings\DAG\My Documents\Visual Studio 2010\Projects\NOLANB\NBReplT\NBReplT</t>
  </si>
  <si>
    <t>NOLANB\NBReplT\NBReplT</t>
  </si>
  <si>
    <t>C:\Documents and Settings\DAG\My Documents\Visual Studio 2010\Projects\Tools_for_Programmers\AssemblyReferenceFixup\AssemblyReferenceFixup</t>
  </si>
  <si>
    <t>Tools_for_Programmers\AssemblyReferenceFixup\AssemblyReferenceFixup</t>
  </si>
  <si>
    <t>C:\Documents and Settings\DAG\My Documents\Visual Studio 2010\Projects\WizardWrx_Libs\ApplicationHelpers\ApplicationHelpers</t>
  </si>
  <si>
    <t>WizardWrx_Libs\ApplicationHelpers\ApplicationHelpers</t>
  </si>
  <si>
    <t>ExceptionLogger.cs</t>
  </si>
  <si>
    <t>C:\Documents and Settings\DAG\My Documents\Visual Studio 2010\Projects\WizardWrx_Libs\ConsoleAppAids\ConsoleAppAids</t>
  </si>
  <si>
    <t>WizardWrx_Libs\ConsoleAppAids\ConsoleAppAids</t>
  </si>
  <si>
    <t>ExceptionReporting.cs</t>
  </si>
  <si>
    <t>ConsoleAppAids.csproj</t>
  </si>
  <si>
    <t>C:\Documents and Settings\DAG\My Documents\Visual Studio 2010\Projects\WizardWrx_Libs\ConsoleAppAids\TestStand</t>
  </si>
  <si>
    <t>WizardWrx_Libs\ConsoleAppAids\TestStand</t>
  </si>
  <si>
    <t>C:\Documents and Settings\DAG\My Documents\Visual Studio 2010\Projects\WizardWrx_Libs\CSV_Parsing\LumenWorks_vs_DDR\LumenWorks_vs_DDR</t>
  </si>
  <si>
    <t>WizardWrx_Libs\CSV_Parsing\LumenWorks_vs_DDR\LumenWorks_vs_DDR</t>
  </si>
  <si>
    <t>C:\Documents and Settings\DAG\My Documents\Visual Studio 2010\Projects\WizardWrx_Libs\SharedUtl2\SharedUtl2</t>
  </si>
  <si>
    <t>WizardWrx_Libs\SharedUtl2\SharedUtl2</t>
  </si>
  <si>
    <t>ThreadSafeExceptionReporting.cs</t>
  </si>
  <si>
    <t>SharedUtl2.csproj</t>
  </si>
  <si>
    <t>C:\Documents and Settings\DAG\My Documents\Visual Studio 2010\Projects\WizardWrx_Libs\SharedUtl2\SharedUtl2_Mutex_Tester</t>
  </si>
  <si>
    <t>WizardWrx_Libs\SharedUtl2\SharedUtl2_Mutex_Tester</t>
  </si>
  <si>
    <t>C:\Documents and Settings\DAG\My Documents\Visual Studio 2010\Projects\WizardWrx_Libs\SharedUtl2\SharedUtl2_Test_Harness\SharedUtl2_Test_Harness</t>
  </si>
  <si>
    <t>WizardWrx_Libs\SharedUtl2\SharedUtl2_Test_Harness\SharedUtl2_Test_Harness</t>
  </si>
  <si>
    <t>HTMLDocsDivisonsWorkout.cs</t>
  </si>
  <si>
    <t>WholeFileReader.cs</t>
  </si>
  <si>
    <t>C:\Documents and Settings\DAG\My Documents\Visual Studio 2010\Projects\WizardWrx_Libs\SharedUtl2\WWDelimitedTextReader\WWDelimitedTextReader</t>
  </si>
  <si>
    <t>WizardWrx_Libs\SharedUtl2\WWDelimitedTextReader\WWDelimitedTextReader</t>
  </si>
  <si>
    <t>C:\Documents and Settings\DAG\My Documents\Visual Studio 2010\Projects\WizardWrx_Libs\WebApp\WebAppLibTestHarness\WebAppLibTestHarness</t>
  </si>
  <si>
    <t>WizardWrx_Libs\WebApp\WebAppLibTestHarness\WebAppLibTestHarness</t>
  </si>
  <si>
    <t>C:\Documents and Settings\DAG\My Documents\Visual Studio 2010\Projects\WizardWrx_Libs\WWDate2FN\WWDate2FNTestStand</t>
  </si>
  <si>
    <t>WizardWrx_Libs\WWDate2FN\WWDate2FNTestStand</t>
  </si>
  <si>
    <t>C:\Documents and Settings\DAG\My Documents\Visual Studio 2010\Projects\_Laboratory\_MyPlayPen\_MyPlayPen</t>
  </si>
  <si>
    <t>_Laboratory\_MyPlayPen\_MyPlayPen</t>
  </si>
  <si>
    <t>C:\Documents and Settings\DAG\My Documents\Visual Studio 2010\Projects\_TESTING WizardWrx Libs\SharedUtl2\SharedUtl2</t>
  </si>
  <si>
    <t>_TESTING WizardWrx Libs\SharedUtl2\SharedUtl2</t>
  </si>
  <si>
    <t>C:\Documents and Settings\DAG\My Documents\Visual Studio 2010\Projects\_TESTING WizardWrx Libs\SharedUtl2\SharedUtl2_Mutex_Tester</t>
  </si>
  <si>
    <t>_TESTING WizardWrx Libs\SharedUtl2\SharedUtl2_Mutex_Tester</t>
  </si>
  <si>
    <t>C:\Documents and Settings\DAG\My Documents\Visual Studio 2010\Projects\_TESTING WizardWrx Libs\SharedUtl2\SharedUtl2_Test_Harness\SharedUtl2_Test_Harness</t>
  </si>
  <si>
    <t>_TESTING WizardWrx Libs\SharedUtl2\SharedUtl2_Test_Harness\SharedUtl2_Test_Harness</t>
  </si>
  <si>
    <t>Investigate</t>
  </si>
  <si>
    <t>OK As Is</t>
  </si>
  <si>
    <t>Fixed</t>
  </si>
  <si>
    <t>relative Directory</t>
  </si>
  <si>
    <t>Identify assemblies that use the ExceptionReporting class.</t>
  </si>
  <si>
    <t>ExceptionReporting</t>
  </si>
  <si>
    <t>Locate the definition of ThreadSafeExceptionReporting</t>
  </si>
  <si>
    <t>ThreadSafeExceptionReporting_Defined</t>
  </si>
  <si>
    <t>This class is defined in WizardWrx.SharedUtl2, which is stable and frozen.</t>
  </si>
  <si>
    <t>C:\Documents and Settings\DAG\My Documents\Visual Studio 2010\Projects\Console_Apps\CopyToShellFolder\CopyToShellFolder\Program.cs</t>
  </si>
  <si>
    <t xml:space="preserve">             //  Initialize the ApplicationInstance and AppExceptionLogger</t>
  </si>
  <si>
    <t xml:space="preserve">             theApp.AppExceptionLogger.AppSubsystem = ExceptionLogger.Subsystem.Console;</t>
  </si>
  <si>
    <t xml:space="preserve">             theApp.AppExceptionLogger.AppStackTraceDisposition = ExceptionLogger.StackTraceDisposition.Include;</t>
  </si>
  <si>
    <t xml:space="preserve">                 theApp.AppExceptionLogger.ReportException (</t>
  </si>
  <si>
    <t>C:\Documents and Settings\DAG\My Documents\Visual Studio 2010\Projects\Console_Apps\Date2FN\Date2FN\Program.cs</t>
  </si>
  <si>
    <t xml:space="preserve">             ExceptionLogger exLogger = s_theApp.AppExceptionLogger;</t>
  </si>
  <si>
    <t xml:space="preserve">             exLogger.AppStackTraceDisposition = ExceptionLogger.StackTraceDisposition.Include;</t>
  </si>
  <si>
    <t xml:space="preserve">             exLogger.EventLoggingState = ExceptionLogger.RecordinEventLog.Enabled;</t>
  </si>
  <si>
    <t xml:space="preserve">                 exLogger.AppSubsystem = ExceptionLogger.Subsystem.Graphical;</t>
  </si>
  <si>
    <t xml:space="preserve">                 exLogger.AppSubsystem = ExceptionLogger.Subsystem.Console;</t>
  </si>
  <si>
    <t xml:space="preserve">                 s_theApp.AppExceptionLogger.ReportException (</t>
  </si>
  <si>
    <t>C:\Documents and Settings\DAG\My Documents\Visual Studio 2010\Projects\Console_Apps\EventLogConfigurator\EventLogConfigurator\Program.cs</t>
  </si>
  <si>
    <t xml:space="preserve">             s_theApp.AppExceptionLogger.AppStackTraceDisposition = ExceptionLogger.StackTraceDisposition.Include;</t>
  </si>
  <si>
    <t xml:space="preserve">             s_theApp.AppExceptionLogger.EventLoggingState = ExceptionLogger.RecordinEventLog.Enabled;</t>
  </si>
  <si>
    <t>C:\Documents and Settings\DAG\My Documents\Visual Studio 2010\Projects\Console_Apps\NFiles\NFiles\Program.cs</t>
  </si>
  <si>
    <t xml:space="preserve">             theApp.AppExceptionLogger.EventLoggingState = ExceptionLogger.RecordinEventLog.Enabled;</t>
  </si>
  <si>
    <t>C:\Documents and Settings\DAG\My Documents\Visual Studio 2010\Projects\Console_Apps\NFiles\NFiles\ProgramParameters.cs</t>
  </si>
  <si>
    <t xml:space="preserve">                         ExceptionLogger.Subsystem enmSaveSubsystem = s_theApp.AppExceptionLogger.AppSubsystem;</t>
  </si>
  <si>
    <t xml:space="preserve">                         s_theApp.AppExceptionLogger.AppSubsystem = ExceptionLogger.Subsystem.Graphical;</t>
  </si>
  <si>
    <t xml:space="preserve">                         s_theApp.AppExceptionLogger.ReportException (</t>
  </si>
  <si>
    <t xml:space="preserve">                         s_theApp.AppExceptionLogger.AppSubsystem = enmSaveSubsystem;</t>
  </si>
  <si>
    <t>C:\Documents and Settings\DAG\My Documents\Visual Studio 2010\Projects\Console_Apps\SchTasksDotNet\SchTasksDotNet\Program.cs</t>
  </si>
  <si>
    <t>C:\Documents and Settings\DAG\My Documents\Visual Studio 2010\Projects\Console_Apps\Tpl2Msg\Tpl2Msg\Program.cs</t>
  </si>
  <si>
    <t xml:space="preserve">                 Console.WriteLine ( theApp.AppExceptionLogger.ReportException (</t>
  </si>
  <si>
    <t>C:\Documents and Settings\DAG\My Documents\Visual Studio 2010\Projects\NOLANB\DataEaseDirectoryReader\DataEase\FormInfoPropertyListCollection.cs</t>
  </si>
  <si>
    <t xml:space="preserve">                 appThis.AppExceptionLogger.ReportException (</t>
  </si>
  <si>
    <t>C:\Documents and Settings\DAG\My Documents\Visual Studio 2010\Projects\NOLANB\DataEaseDirectoryReader\DataEase\ReportInfoPropertyListCollection.cs</t>
  </si>
  <si>
    <t>C:\Documents and Settings\DAG\My Documents\Visual Studio 2010\Projects\NOLANB\DataEaseDirectoryReader\DataEase\ReportsDirectory.cs</t>
  </si>
  <si>
    <t xml:space="preserve">                     theApp.AppExceptionLogger.ReportException (</t>
  </si>
  <si>
    <t>C:\Documents and Settings\DAG\My Documents\Visual Studio 2010\Projects\NOLANB\DataEaseDirectoryReader\DataEaseDirectoryReader\Program.cs</t>
  </si>
  <si>
    <t>C:\Documents and Settings\DAG\My Documents\Visual Studio 2010\Projects\NOLANB\DataEaseDirectoryReader\SupportMethodTester\Program.cs</t>
  </si>
  <si>
    <t>C:\Documents and Settings\DAG\My Documents\Visual Studio 2010\Projects\NOLANB\DEDocTR_Repository_Manager\DEDocTR_Repository_Manager\Form1.cs</t>
  </si>
  <si>
    <t xml:space="preserve">             _appThis.AppExceptionLogger.EventLoggingState = WizardWrx.ApplicationHelpers.ExceptionLogger.RecordinEventLog.Enabled;</t>
  </si>
  <si>
    <t xml:space="preserve">                 string strFullMessage = _appThis.AppExceptionLogger.ReportException (</t>
  </si>
  <si>
    <t>C:\Documents and Settings\DAG\My Documents\Visual Studio 2010\Projects\NOLANB\DEFormInfo\DEFormInfo\Form1.cs</t>
  </si>
  <si>
    <t xml:space="preserve">                     string strFullMessage = _appThis.AppExceptionLogger.ReportException (</t>
  </si>
  <si>
    <t>C:\Documents and Settings\DAG\My Documents\Visual Studio 2010\Projects\NOLANB\ZZRdInts\ZZRdInts\Program.cs</t>
  </si>
  <si>
    <t>C:\Documents and Settings\DAG\My Documents\Visual Studio 2010\Projects\Tools_for_Programmers\CSVEditors\CSVEdit1\Form1.cs</t>
  </si>
  <si>
    <t xml:space="preserve">                         Program.TheApp.AppExceptionLogger.AppEventSourceID ) ,</t>
  </si>
  <si>
    <t xml:space="preserve">             Program.TheApp.AppExceptionLogger.ReportException (</t>
  </si>
  <si>
    <t>C:\Documents and Settings\DAG\My Documents\Visual Studio 2010\Projects\Tools_for_Programmers\CSVEditors\CSVEdit1\Program.cs</t>
  </si>
  <si>
    <t xml:space="preserve">             TheApp.AppExceptionLogger.AppEventSourceID = Application.ProductName;</t>
  </si>
  <si>
    <t xml:space="preserve">             TheApp.AppExceptionLogger.AppSubsystem = ExceptionLogger.Subsystem.Graphical;</t>
  </si>
  <si>
    <t xml:space="preserve">             TheApp.AppExceptionLogger.EventLoggingState = ExceptionLogger.RecordinEventLog.Enabled;</t>
  </si>
  <si>
    <t>C:\Documents and Settings\DAG\My Documents\Visual Studio 2010\Projects\Tools_for_Programmers\SourceCodeDependencyWalker\SourceCodeDependencyWalker\Program.cs</t>
  </si>
  <si>
    <t>C:\Documents and Settings\DAG\My Documents\Visual Studio 2010\Projects\Tools_for_Programmers\WinPEImportExportAnalyzer\WinPEImportExportAnalyzer\Program.cs</t>
  </si>
  <si>
    <t xml:space="preserve">                                     theApp.AppExceptionLogger.ReportException (</t>
  </si>
  <si>
    <t xml:space="preserve">                                 theApp.AppExceptionLogger.ReportException (</t>
  </si>
  <si>
    <t xml:space="preserve">                             theApp.AppExceptionLogger.ReportException (</t>
  </si>
  <si>
    <t xml:space="preserve">                         theApp.AppExceptionLogger.ReportException (</t>
  </si>
  <si>
    <t>C:\Documents and Settings\DAG\My Documents\Visual Studio 2010\Projects\WizardWrx_Libs\ApplicationHelpers\ApplicationHelpers\ApplicationInstance.cs</t>
  </si>
  <si>
    <t xml:space="preserve">         /// TIMED_WAIT_BACKGROUND_COLOR_DEFAULT, to instruct an ExceptionLogger</t>
  </si>
  <si>
    <t xml:space="preserve">         /// TIMED_WAIT_TEXT_COLOR_DEFAULT, to instruct an ExceptionLogger object</t>
  </si>
  <si>
    <t xml:space="preserve">         private ExceptionLogger _pvtExceptionLogger = null;</t>
  </si>
  <si>
    <t xml:space="preserve">             _TheInstance._pvtExceptionLogger = ExceptionLogger.GetTheSingleInstance ( );</t>
  </si>
  <si>
    <t xml:space="preserve">             ExceptionLogger.Subsystem penmSubsystem )</t>
  </si>
  <si>
    <t xml:space="preserve">             rTheInstance._pvtExceptionLogger = ExceptionLogger.GetTheSingleInstance ( penmSubsystem );</t>
  </si>
  <si>
    <t xml:space="preserve">         /// This property returns a reference to the singleton ExceptionLogger,</t>
  </si>
  <si>
    <t xml:space="preserve">         public ExceptionLogger AppExceptionLogger { get { return _pvtExceptionLogger; } }</t>
  </si>
  <si>
    <t xml:space="preserve">   File Name:          ExceptionLogger.cs</t>
  </si>
  <si>
    <t xml:space="preserve">   Class Name:         ExceptionLogger</t>
  </si>
  <si>
    <t xml:space="preserve">                      utility class, ExceptionLogger, originally called</t>
  </si>
  <si>
    <t xml:space="preserve">                               rename it ExceptionLogger, and change methods from</t>
  </si>
  <si>
    <t xml:space="preserve">     public class ExceptionLogger</t>
  </si>
  <si>
    <t xml:space="preserve">             /// ExceptionLogger instance determines which event log gets the</t>
  </si>
  <si>
    <t xml:space="preserve">         private static ExceptionLogger _TheInstance = null;</t>
  </si>
  <si>
    <t xml:space="preserve">         private ExceptionLogger ( )</t>
  </si>
  <si>
    <t xml:space="preserve">         }   // private ExceptionLogger</t>
  </si>
  <si>
    <t xml:space="preserve">             ref ExceptionLogger ptsfThis )</t>
  </si>
  <si>
    <t xml:space="preserve">                     ptsfThis = new ExceptionLogger ( );</t>
  </si>
  <si>
    <t xml:space="preserve">         static ExceptionLogger ( )</t>
  </si>
  <si>
    <t xml:space="preserve">         }   // private static ExceptionLogger ( )</t>
  </si>
  <si>
    <t xml:space="preserve">         /// reference to the ExceptionLogger singleton.</t>
  </si>
  <si>
    <t xml:space="preserve">         internal static ExceptionLogger GetTheSingleInstance ( )</t>
  </si>
  <si>
    <t xml:space="preserve">         /// reference to the ExceptionLogger singleton and set its AppSubsystem</t>
  </si>
  <si>
    <t xml:space="preserve">         internal static ExceptionLogger GetTheSingleInstance ( Subsystem penmSubsystem )</t>
  </si>
  <si>
    <t xml:space="preserve">             ExceptionLogger rTheInstance = GetTheSingleInstance ( );</t>
  </si>
  <si>
    <t xml:space="preserve">         }   // internal static ExceptionLogger GetTheSingleInstance (2 of 10)</t>
  </si>
  <si>
    <t xml:space="preserve">         internal static ExceptionLogger GetTheSingleInstance (</t>
  </si>
  <si>
    <t xml:space="preserve">         }   // internal static ExceptionLogger GetTheSingleInstance (3 of 10)</t>
  </si>
  <si>
    <t xml:space="preserve">         /// reference to the ExceptionLogger singleton and set its AppSubsystem,</t>
  </si>
  <si>
    <t xml:space="preserve">         }   // internal static ExceptionLogger GetTheSingleInstance (4 of 10)</t>
  </si>
  <si>
    <t xml:space="preserve">         }   // internal static ExceptionLogger GetTheSingleInstance (5 of 10)</t>
  </si>
  <si>
    <t xml:space="preserve">         }   // internal static ExceptionLogger GetTheSingleInstance (6 of 10)</t>
  </si>
  <si>
    <t xml:space="preserve">         }   // internal static ExceptionLogger GetTheSingleInstance (7 of 10)</t>
  </si>
  <si>
    <t xml:space="preserve">         }   // internal static ExceptionLogger GetTheSingleInstance (8 of 10)</t>
  </si>
  <si>
    <t xml:space="preserve">         }   // internal static ExceptionLogger GetTheSingleInstance (9 of 10)</t>
  </si>
  <si>
    <t xml:space="preserve">         /// reference to the ExceptionLogger ssingleton and set its</t>
  </si>
  <si>
    <t xml:space="preserve">         }   // internal static ExceptionLogger GetTheSingleInstance (10 of 10)</t>
  </si>
  <si>
    <t xml:space="preserve">     }  // public sealed class ExceptionLogger</t>
  </si>
  <si>
    <t>C:\Documents and Settings\DAG\My Documents\Visual Studio 2010\Projects\WizardWrx_Libs\ApplicationHelpers\ApplicationHelpers\StateManager.cs</t>
  </si>
  <si>
    <t xml:space="preserve">                 _TheInstance._pvtExceptionLogger = ExceptionLogger.GetTheSingleInstance ( );</t>
  </si>
  <si>
    <t>C:\Documents and Settings\DAG\My Documents\Visual Studio 2010\Projects\WizardWrx_Libs\ApplicationHelpers\ApplicationHelpers\ApplicationHelpers.csproj</t>
  </si>
  <si>
    <t xml:space="preserve">     &lt;Compile Include="ExceptionLogger.cs" /&gt;</t>
  </si>
  <si>
    <t>C:\Documents and Settings\DAG\My Documents\Visual Studio 2010\Projects\WizardWrx_Libs\ApplicationHelpers\ApplicationHelpersTestHarness\ApplicationHelpersTestHarness\Program.cs</t>
  </si>
  <si>
    <t xml:space="preserve">     2012/11/12 2.8     DAG/WW Add exercises for the new ExceptionLogger class.</t>
  </si>
  <si>
    <t xml:space="preserve">                              of ExceptionLogger, with repsect to its behavior in</t>
  </si>
  <si>
    <t xml:space="preserve">         static readonly ExceptionLogger.StackTraceDisposition [ ] s_aenmStackTraceDisp =</t>
  </si>
  <si>
    <t xml:space="preserve">             ExceptionLogger.StackTraceDisposition.Include ,</t>
  </si>
  <si>
    <t xml:space="preserve">             ExceptionLogger.StackTraceDisposition.Omit</t>
  </si>
  <si>
    <t xml:space="preserve">         };  // static readonly ExceptionLogger.StackTraceDisposition [ ] s_aenmStackTraceDisp</t>
  </si>
  <si>
    <t xml:space="preserve">         static readonly ExceptionLogger.Subsystem [ ] s_aenmAppSubsystem =</t>
  </si>
  <si>
    <t xml:space="preserve">             ExceptionLogger.Subsystem.Unknown ,</t>
  </si>
  <si>
    <t xml:space="preserve">             ExceptionLogger.Subsystem.Console ,</t>
  </si>
  <si>
    <t xml:space="preserve">             ExceptionLogger.Subsystem.CUI ,</t>
  </si>
  <si>
    <t xml:space="preserve">             ExceptionLogger.Subsystem.Graphical ,</t>
  </si>
  <si>
    <t xml:space="preserve">             ExceptionLogger.Subsystem.GUI</t>
  </si>
  <si>
    <t xml:space="preserve">         };  // static readonly ExceptionLogger.Subsystem [ ] s_aenmAppSubsystem</t>
  </si>
  <si>
    <t xml:space="preserve">         static readonly ExceptionLogger.RecordinEventLog [ ] s_aenmLoggingState =</t>
  </si>
  <si>
    <t xml:space="preserve">             ExceptionLogger.RecordinEventLog.Disabled ,</t>
  </si>
  <si>
    <t xml:space="preserve">             ExceptionLogger.RecordinEventLog.Enabled</t>
  </si>
  <si>
    <t xml:space="preserve">         };  // static readonly ExceptionLogger.RecordinEventLog [ ] s_aenmLoggingState</t>
  </si>
  <si>
    <t xml:space="preserve">             ExerciseExceptionLogger ( );</t>
  </si>
  <si>
    <t xml:space="preserve">                     appThisInstance.AppExceptionLogger.ReportException (</t>
  </si>
  <si>
    <t xml:space="preserve">         private static void ExerciseExceptionLogger ( )</t>
  </si>
  <si>
    <t xml:space="preserve">             const string STANDARD_ERROR_MESSAGE = @"Test {0}: This is a test of the ExceptionLogger class. using an exception of type {1}.";</t>
  </si>
  <si>
    <t xml:space="preserve">             ExceptionLogger theLogger = TheApp.AppExceptionLogger;</t>
  </si>
  <si>
    <t xml:space="preserve">                 foreach ( ExceptionLogger.StackTraceDisposition enmStackDisp in s_aenmStackTraceDisp )</t>
  </si>
  <si>
    <t xml:space="preserve">                     foreach ( ExceptionLogger.Subsystem enmSubsystem in s_aenmAppSubsystem )</t>
  </si>
  <si>
    <t xml:space="preserve">                     {   // ExceptionLogger.Subsystem collapses to one of only three values.</t>
  </si>
  <si>
    <t xml:space="preserve">                         foreach ( ExceptionLogger.RecordinEventLog enmEventLogUsage in s_aenmLoggingState )</t>
  </si>
  <si>
    <t xml:space="preserve">                         }   // foreach ( ExceptionLogger.RecordinEventLog enmEventLogUsage in _aenmLoggingState )</t>
  </si>
  <si>
    <t xml:space="preserve">                     }   // foreach ( ExceptionLogger.Subsystem enmSubsystem in _aenmAppSubsystem )</t>
  </si>
  <si>
    <t xml:space="preserve">                 }   // foreach ( ExceptionLogger.StackTraceDisposition enmStackDisp in _aenmStackTraceDisp )</t>
  </si>
  <si>
    <t xml:space="preserve">             ExceptionLogger theLogger = theApp.AppExceptionLogger;</t>
  </si>
  <si>
    <t xml:space="preserve">             theLogger.AppSubsystem = ExceptionLogger.Subsystem.Console;</t>
  </si>
  <si>
    <t xml:space="preserve">             theLogger.AppStackTraceDisposition = ExceptionLogger.StackTraceDisposition.Omit;</t>
  </si>
  <si>
    <t xml:space="preserve">                 Properties.Resources.ExceptionLoggerTestGroup ,</t>
  </si>
  <si>
    <t>C:\Documents and Settings\DAG\My Documents\Visual Studio 2010\Projects\WizardWrx_Libs\ApplicationHelpers\ApplicationHelpersTestHarness\ApplicationHelpersTestHarness\Properties\Resources.Designer.cs</t>
  </si>
  <si>
    <t xml:space="preserve">         internal static string ExceptionLoggerTestGroup {</t>
  </si>
  <si>
    <t xml:space="preserve">                 return ResourceManager.GetString("ExceptionLoggerTestGroup", resourceCulture);</t>
  </si>
  <si>
    <t>C:\Documents and Settings\DAG\My Documents\Visual Studio 2010\Projects\WizardWrx_Libs\ApplicationHelpers\EOJTEST\Program.cs</t>
  </si>
  <si>
    <t xml:space="preserve">                 _me.AppExceptionLogger.ReportException (</t>
  </si>
  <si>
    <t>C:\Documents and Settings\DAG\My Documents\Visual Studio 2010\Projects\WizardWrx_Libs\ConsoleAppAids\ConsoleAppAids\DisplayAids.CS</t>
  </si>
  <si>
    <t xml:space="preserve">         /// regardless of the setting of the ExceptionLogger.Subsystem property,</t>
  </si>
  <si>
    <t xml:space="preserve">             ApplicationHelpers.ExceptionLogger errLogger = WizardWrx.ApplicationHelpers.ApplicationInstance.GetTheSingleInstance ( ).AppExceptionLogger;</t>
  </si>
  <si>
    <t xml:space="preserve">             if ( errLogger.AppSubsystem == ApplicationHelpers.ExceptionLogger.Subsystem.Console )</t>
  </si>
  <si>
    <t xml:space="preserve">             if ( app.AppExceptionLogger.AppSubsystem == ExceptionLogger.Subsystem.Console )</t>
  </si>
  <si>
    <t xml:space="preserve">             }   // if ( app.AppExceptionLogger.AppSubsystem == ExceptionLogger.Subsystem.Console )</t>
  </si>
  <si>
    <t xml:space="preserve">                 s_theApp.AppExceptionLogger.AppStackTraceDisposition = ExceptionLogger.StackTraceDisposition.Include;</t>
  </si>
  <si>
    <t xml:space="preserve">                 s_theApp.AppExceptionLogger.EventLoggingState = ExceptionLogger.RecordinEventLog.Enabled;</t>
  </si>
  <si>
    <t xml:space="preserve">                 s_theApp.AppExceptionLogger.AppSubsystem = ExceptionLogger.Subsystem.Console;</t>
  </si>
  <si>
    <t xml:space="preserve">                     s_theApp.AppExceptionLogger.ReportException (</t>
  </si>
  <si>
    <t xml:space="preserve">                 micParams.ColorWriteLine ( "AppExceptionLogger properties:{0}" , Environment.NewLine );</t>
  </si>
  <si>
    <t xml:space="preserve">                 ExceptionLogger exlMine = ApplicationInstance.GetTheSingleInstance ( ).AppExceptionLogger;</t>
  </si>
  <si>
    <t xml:space="preserve">                 string strMsg = saiMe.AppExceptionLogger.ReportException (</t>
  </si>
  <si>
    <t xml:space="preserve">             MessageInColor micSaveErrorMessageColors = s_theApp.AppExceptionLogger.ErrorMessageColors;</t>
  </si>
  <si>
    <t xml:space="preserve">             s_theApp.AppExceptionLogger.ErrorMessageColors = new MessageInColor ( ConsoleColor.White , ConsoleColor.DarkRed );</t>
  </si>
  <si>
    <t xml:space="preserve">                             s_theApp.AppExceptionLogger.ReportException (</t>
  </si>
  <si>
    <t xml:space="preserve">                 s_theApp.AppExceptionLogger.ErrorMessageColors = micSaveErrorMessageColors;</t>
  </si>
  <si>
    <t xml:space="preserve">             ExceptionLogger exLog = s_theApp.AppExceptionLogger;</t>
  </si>
  <si>
    <t xml:space="preserve">                 exLog.AppStackTraceDisposition = ExceptionLogger.StackTraceDisposition.Omit;</t>
  </si>
  <si>
    <t xml:space="preserve">             exLog.EventLoggingState = ExceptionLogger.RecordinEventLog.Enabled;</t>
  </si>
  <si>
    <t xml:space="preserve">                 exLog.AppSubsystem = ExceptionLogger.Subsystem.Console;</t>
  </si>
  <si>
    <t>C:\Documents and Settings\DAG\My Documents\Visual Studio 2010\Projects\WizardWrx_Libs\DLLServices\AssemblyWithCfgFile\AssemblyLocatorDemo.cs</t>
  </si>
  <si>
    <t xml:space="preserve">                 WizardWrx.ApplicationHelpers.ExceptionLogger theReporter = theApp.AppExceptionLogger;</t>
  </si>
  <si>
    <t>C:\Documents and Settings\DAG\My Documents\Visual Studio 2010\Projects\WizardWrx_Libs\DLLServices\DLLServicesTestStand\GACAssemblyLocatorTest.cs</t>
  </si>
  <si>
    <t>C:\Documents and Settings\DAG\My Documents\Visual Studio 2010\Projects\WizardWrx_Libs\SharedUtl4\SharedUtl4_TestStand\Program.cs</t>
  </si>
  <si>
    <t xml:space="preserve">                 string strMsg = rs_appThis.AppExceptionLogger.ReportException (</t>
  </si>
  <si>
    <t>C:\Documents and Settings\DAG\My Documents\Visual Studio 2010\Projects\WizardWrx_Libs\ShellPopUp\ShellPopUpTestStand\ConstantsExplorer\Program.cs</t>
  </si>
  <si>
    <t xml:space="preserve">             theApp.AppExceptionLogger.AppEventSourceID = System.Reflection.MethodBase.GetCurrentMethod ( ).Module.Name;</t>
  </si>
  <si>
    <t>C:\Documents and Settings\DAG\My Documents\Visual Studio 2010\Projects\_Laboratory\ConsoleColorsDemo\ConsoleColorsDemo\Program.cs</t>
  </si>
  <si>
    <t>xxxx</t>
  </si>
  <si>
    <t>xxxxx</t>
  </si>
  <si>
    <t>DisplayBOJMessage</t>
  </si>
  <si>
    <t>DisplayEOJMessage</t>
  </si>
  <si>
    <t>ErrorExit</t>
  </si>
  <si>
    <t>GetBOJMessage</t>
  </si>
  <si>
    <t>GetEOJMessage</t>
  </si>
  <si>
    <t>NormalExit</t>
  </si>
  <si>
    <t>ApplicationInstance</t>
  </si>
  <si>
    <t>Lines</t>
  </si>
  <si>
    <t>Method</t>
  </si>
  <si>
    <t>259-273</t>
  </si>
  <si>
    <t>410-449</t>
  </si>
  <si>
    <t>275-331</t>
  </si>
  <si>
    <t>348-407</t>
  </si>
  <si>
    <t>488-509</t>
  </si>
  <si>
    <t xml:space="preserve">        /// &lt;summary&gt;</t>
  </si>
  <si>
    <t xml:space="preserve">        /// When called for the first time, this method displays a BOJ message</t>
  </si>
  <si>
    <t xml:space="preserve">        /// on the console. Subsequent calls return immediately, without taking</t>
  </si>
  <si>
    <t xml:space="preserve">        /// any action.</t>
  </si>
  <si>
    <t xml:space="preserve">        /// &lt;/summary&gt;</t>
  </si>
  <si>
    <t xml:space="preserve">        /// &lt;remarks&gt;</t>
  </si>
  <si>
    <t xml:space="preserve">        /// This method is a wafer-thin wrapper around GetBOJMessage, and it</t>
  </si>
  <si>
    <t xml:space="preserve">        /// uses a thread-safe method to write its output on the console.</t>
  </si>
  <si>
    <t xml:space="preserve">        /// &lt;/remarks&gt;</t>
  </si>
  <si>
    <t xml:space="preserve">        public void DisplayBOJMessage ( )</t>
  </si>
  <si>
    <t xml:space="preserve">        {</t>
  </si>
  <si>
    <t xml:space="preserve">            if ( !_fBoJMessageGenerated )</t>
  </si>
  <si>
    <t xml:space="preserve">                TextWriter.Synchronized ( Console.Out ).WriteLine ( GetBOJMessage ( ) );</t>
  </si>
  <si>
    <t xml:space="preserve">        }   // public void DisplayBOJMessage method</t>
  </si>
  <si>
    <t>Source Code</t>
  </si>
  <si>
    <t>334-345</t>
  </si>
  <si>
    <t xml:space="preserve">        /// This method takes GetEOJMessage a step further by passing its return</t>
  </si>
  <si>
    <t xml:space="preserve">        /// value to a thread-safe console writer.</t>
  </si>
  <si>
    <t xml:space="preserve">        /// Access to this method is syncrhonized by an internally managed</t>
  </si>
  <si>
    <t xml:space="preserve">        /// object lock.</t>
  </si>
  <si>
    <t xml:space="preserve">        public void DisplayEOJMessage ( )</t>
  </si>
  <si>
    <t xml:space="preserve">            TextWriter.Synchronized ( Console.Out ).WriteLine ( GetEOJMessage ( ) );</t>
  </si>
  <si>
    <t xml:space="preserve">        }   // public void DisplayEOJMessage method</t>
  </si>
  <si>
    <t xml:space="preserve">        /// Display an error message, read from a table of static strings, and</t>
  </si>
  <si>
    <t xml:space="preserve">        /// exit, returning the exit code. See Remarks.</t>
  </si>
  <si>
    <t xml:space="preserve">        /// &lt;param name="puintStatusCode"&gt;</t>
  </si>
  <si>
    <t xml:space="preserve">        /// This unsigned integer specifies the subscript of the message, and it</t>
  </si>
  <si>
    <t xml:space="preserve">        /// becomes the program's exit code. See Remarks.</t>
  </si>
  <si>
    <t xml:space="preserve">        /// &lt;/param&gt;</t>
  </si>
  <si>
    <t xml:space="preserve">        /// You must supply the messages as an array of strings, by calling</t>
  </si>
  <si>
    <t xml:space="preserve">        /// instance method LoadErrorMessageTable.</t>
  </si>
  <si>
    <t xml:space="preserve">        ///</t>
  </si>
  <si>
    <t xml:space="preserve">        /// After the message is displayed, static method WaitForCarbonUnit</t>
  </si>
  <si>
    <t xml:space="preserve">        /// is called with a null string reference, causing it to display its</t>
  </si>
  <si>
    <t xml:space="preserve">        /// default prompt, and wait until an operator presses the RETURN key.</t>
  </si>
  <si>
    <t xml:space="preserve">        /// When WaitForCarbonUnit returns, the DisplayEOJMessage method on the</t>
  </si>
  <si>
    <t xml:space="preserve">        /// singleton instance is called to display the end of job message,</t>
  </si>
  <si>
    <t xml:space="preserve">        /// along with the ending time and elapsed time, and control is returned</t>
  </si>
  <si>
    <t xml:space="preserve">        /// to the OS, sending along the exit code.</t>
  </si>
  <si>
    <t xml:space="preserve">        public void ErrorExit ( uint puintStatusCode )</t>
  </si>
  <si>
    <t xml:space="preserve">            const string MSG_OUT_OF_BOUNDS = @"Internal error: Unknown status code, {0}";</t>
  </si>
  <si>
    <t xml:space="preserve">            if ( puintStatusCode &lt; _astrErrorMessages.Length )</t>
  </si>
  <si>
    <t xml:space="preserve">                Console.WriteLine ( _astrErrorMessages [ puintStatusCode ] );</t>
  </si>
  <si>
    <t xml:space="preserve">            else</t>
  </si>
  <si>
    <t xml:space="preserve">                Console.WriteLine ( MSG_OUT_OF_BOUNDS , puintStatusCode );</t>
  </si>
  <si>
    <t xml:space="preserve">            Console.WriteLine (</t>
  </si>
  <si>
    <t xml:space="preserve">                Properties.Resources.MSG_APPSTATUSCODE ,</t>
  </si>
  <si>
    <t xml:space="preserve">                puintStatusCode ,</t>
  </si>
  <si>
    <t xml:space="preserve">                Environment.NewLine );</t>
  </si>
  <si>
    <t xml:space="preserve">            ConsoleAppAids.DisplayAids.WaitForCarbonUnit ( null );</t>
  </si>
  <si>
    <t xml:space="preserve">            this.DisplayEOJMessage ( );</t>
  </si>
  <si>
    <t xml:space="preserve">            Environment.Exit ( ( int ) puintStatusCode );</t>
  </si>
  <si>
    <t xml:space="preserve">        }   // public void ErrorExit</t>
  </si>
  <si>
    <t xml:space="preserve">        /// When called for the first time, this method returns a BOJ message,</t>
  </si>
  <si>
    <t xml:space="preserve">        /// ready for display on the console. Subsequent calls return an empty</t>
  </si>
  <si>
    <t xml:space="preserve">        /// string.</t>
  </si>
  <si>
    <t xml:space="preserve">        /// &lt;returns&gt;</t>
  </si>
  <si>
    <t xml:space="preserve">        /// The first call returns a message for display on the console. All</t>
  </si>
  <si>
    <t xml:space="preserve">        /// subsequent calls return an empty string, indicating that another</t>
  </si>
  <si>
    <t xml:space="preserve">        /// thread already requested a message, and has, presumably, displayed</t>
  </si>
  <si>
    <t xml:space="preserve">        /// it.</t>
  </si>
  <si>
    <t xml:space="preserve">        /// &lt;/returns&gt;</t>
  </si>
  <si>
    <t xml:space="preserve">        public string GetBOJMessage ( )</t>
  </si>
  <si>
    <t xml:space="preserve">            {   // Method has never been called against this instance.</t>
  </si>
  <si>
    <t xml:space="preserve">                lock ( _lwlMaster )</t>
  </si>
  <si>
    <t xml:space="preserve">                {   // Thread-safe we must always be.</t>
  </si>
  <si>
    <t xml:space="preserve">                    _fBoJMessageGenerated = true;</t>
  </si>
  <si>
    <t xml:space="preserve">                    My myAppMeta = _MyRootAssembly;</t>
  </si>
  <si>
    <t xml:space="preserve">                    if ( _fShowUTCTime )</t>
  </si>
  <si>
    <t xml:space="preserve">                    {   // By default, the local and UTC startup times are shown.</t>
  </si>
  <si>
    <t xml:space="preserve">                        return string.Format (</t>
  </si>
  <si>
    <t xml:space="preserve">                            StandardConstants.CONSOLE_APP_BOJ ,                     // Message Template</t>
  </si>
  <si>
    <t xml:space="preserve">                            new object [ ]</t>
  </si>
  <si>
    <t xml:space="preserve">                                {</t>
  </si>
  <si>
    <t xml:space="preserve">                                    myAppMeta.AssemblyFileBaseName ,                // Token 0</t>
  </si>
  <si>
    <t xml:space="preserve">                                    myAppMeta.VersionString ,                       // Token 1</t>
  </si>
  <si>
    <t xml:space="preserve">                                    Environment.NewLine ,                           // Token 2</t>
  </si>
  <si>
    <t xml:space="preserve">                                    _fltConsoleMessageTimeFormat.FormatThisTime (</t>
  </si>
  <si>
    <t xml:space="preserve">                                        myAppMeta.StartupTime) ,                    // Token 3</t>
  </si>
  <si>
    <t xml:space="preserve">                                        myAppMeta.StartupTimeUTC)} );               // Token 4</t>
  </si>
  <si>
    <t xml:space="preserve">                    }   // TRUE (default) block, if ( _fShowUTCTime )</t>
  </si>
  <si>
    <t xml:space="preserve">                    else</t>
  </si>
  <si>
    <t xml:space="preserve">                    {   // User doesn't want the UTC times.</t>
  </si>
  <si>
    <t xml:space="preserve">                            Properties.Resources.CONSOLE_APP_BOJ_NO_UTC ,           // Message Template</t>
  </si>
  <si>
    <t xml:space="preserve">                            new object [ ] {</t>
  </si>
  <si>
    <t xml:space="preserve">                                myAppMeta.AssemblyFileBaseName ,                    // Token 0</t>
  </si>
  <si>
    <t xml:space="preserve">                                myAppMeta.VersionString ,                           // Token 1</t>
  </si>
  <si>
    <t xml:space="preserve">                                Environment.NewLine ,                               // Token 2</t>
  </si>
  <si>
    <t xml:space="preserve">                                _fltConsoleMessageTimeFormat.FormatThisTime (</t>
  </si>
  <si>
    <t xml:space="preserve">                                    myAppMeta.StartupTime)} );                      // Token 3</t>
  </si>
  <si>
    <t xml:space="preserve">                    }   // FALSE (alternate) block, if ( _fShowUTCTime )</t>
  </si>
  <si>
    <t xml:space="preserve">                }   // lock ( _lwlMaster ) goes out of scope.</t>
  </si>
  <si>
    <t xml:space="preserve">            }   // TRUE block, if ( !_fBoJMessageGenerated )</t>
  </si>
  <si>
    <t xml:space="preserve">            {   // One BOJ message per instance, please!</t>
  </si>
  <si>
    <t xml:space="preserve">                return string.Empty;</t>
  </si>
  <si>
    <t xml:space="preserve">            }   // FALSE block, if ( !_fBoJMessageGenerated )</t>
  </si>
  <si>
    <t xml:space="preserve">        }   // public string GetBOJMessage method</t>
  </si>
  <si>
    <t xml:space="preserve">        /// This method returns a new EOJ message each time it is called.</t>
  </si>
  <si>
    <t xml:space="preserve">        /// The returned string is ready to print on the console, by calling the</t>
  </si>
  <si>
    <t xml:space="preserve">        /// Console.WriteLine method.</t>
  </si>
  <si>
    <t xml:space="preserve">        public string GetEOJMessage ( )</t>
  </si>
  <si>
    <t xml:space="preserve">            string strMsgWork = null;</t>
  </si>
  <si>
    <t xml:space="preserve">            lock ( _lwlMaster )</t>
  </si>
  <si>
    <t xml:space="preserve">            {</t>
  </si>
  <si>
    <t xml:space="preserve">                My myAppMeta = _MyRootAssembly;</t>
  </si>
  <si>
    <t xml:space="preserve">                DateTime dtmEndOfJob = DateTime.Now;</t>
  </si>
  <si>
    <t xml:space="preserve">                if ( _fShowUTCTime )</t>
  </si>
  <si>
    <t xml:space="preserve">                {   // By default, the local and UTC startup times are shown.</t>
  </si>
  <si>
    <t xml:space="preserve">                    strMsgWork = string.Format (</t>
  </si>
  <si>
    <t xml:space="preserve">                        StandardConstants.CONSOLE_APP_EOJ ,                         // Format string</t>
  </si>
  <si>
    <t xml:space="preserve">                        new object [ ] {</t>
  </si>
  <si>
    <t xml:space="preserve">                             Environment.NewLine ,                                  // Token 0</t>
  </si>
  <si>
    <t xml:space="preserve">                             myAppMeta.AssemblyFileBaseName ,                       // Token 1</t>
  </si>
  <si>
    <t xml:space="preserve">                             _fltConsoleMessageTimeFormat.FormatThisTime (</t>
  </si>
  <si>
    <t xml:space="preserve">                                dtmEndOfJob ) ,                                     // Token 2</t>
  </si>
  <si>
    <t xml:space="preserve">                                dtmEndOfJob.ToUniversalTime ( ) ),                  // Token 3</t>
  </si>
  <si>
    <t xml:space="preserve">                             myAppMeta.UpTimeDispDHmst } );                         // Token 4</t>
  </si>
  <si>
    <t xml:space="preserve">                }  // TRUE (default) block, if ( _fShowUTCTime )</t>
  </si>
  <si>
    <t xml:space="preserve">                else</t>
  </si>
  <si>
    <t xml:space="preserve">                {  // User doesn't want the UTC times.</t>
  </si>
  <si>
    <t xml:space="preserve">                        Properties.Resources.CONSOLE_APP_EOJ_NO_UTC ,               // Format string</t>
  </si>
  <si>
    <t xml:space="preserve">                             myAppMeta.UpTimeDispDHmst } );                         // Token 3</t>
  </si>
  <si>
    <t xml:space="preserve">                }  // FALSE (alternate) block, if ( _fShowUTCTime )</t>
  </si>
  <si>
    <t xml:space="preserve">            }   // lock ( _lwlMaster ) goes out of scope.</t>
  </si>
  <si>
    <t xml:space="preserve">            //  ----------------------------------------------------------------</t>
  </si>
  <si>
    <t xml:space="preserve">            //  If the line is too wide to fit on one line, we'll decide where</t>
  </si>
  <si>
    <t xml:space="preserve">            //  to split it.</t>
  </si>
  <si>
    <t xml:space="preserve">            if ( strMsgWork.Length &gt; Console.WindowWidth )</t>
  </si>
  <si>
    <t xml:space="preserve">                return strMsgWork.Replace (</t>
  </si>
  <si>
    <t xml:space="preserve">                    Properties.Resources.CONSOLE_APP_EOJ_SPLIT_TOKEN ,              // Format template</t>
  </si>
  <si>
    <t xml:space="preserve">                    string.Format (</t>
  </si>
  <si>
    <t xml:space="preserve">                        Properties.Resources.CONSOLE_APP_EOJ_REPLACEMENT_TOKEN ,    // Token 0</t>
  </si>
  <si>
    <t xml:space="preserve">                        Environment.NewLine ) );                                    // Token 1</t>
  </si>
  <si>
    <t xml:space="preserve">                return strMsgWork;</t>
  </si>
  <si>
    <t xml:space="preserve">        }  // public string GetEOJMessage method</t>
  </si>
  <si>
    <t xml:space="preserve">        /// Exit the program normally, returning the status code stored in this</t>
  </si>
  <si>
    <t xml:space="preserve">        /// instance, and optionally call WaitForCarbonUnit to suspend execution</t>
  </si>
  <si>
    <t xml:space="preserve">        /// until the operator has a chance to read the output or capture it</t>
  </si>
  <si>
    <t xml:space="preserve">        /// into the clipboard. If WaitForCarbonUnit is called, its default</t>
  </si>
  <si>
    <t xml:space="preserve">        /// message is used.</t>
  </si>
  <si>
    <t xml:space="preserve">        /// This should have been the way the original version worked. Since it</t>
  </si>
  <si>
    <t xml:space="preserve">        /// is the simplest, I forced the original implementation to surrender</t>
  </si>
  <si>
    <t xml:space="preserve">        /// its hold on the number one slot.</t>
  </si>
  <si>
    <t xml:space="preserve">        /// This method calls overload 4, passing in a null reference for the</t>
  </si>
  <si>
    <t xml:space="preserve">        /// carbon unit prompt and an immediate exit instruction.</t>
  </si>
  <si>
    <t xml:space="preserve">        public void NormalExit ( )</t>
  </si>
  <si>
    <t xml:space="preserve">            NormalExit (</t>
  </si>
  <si>
    <t xml:space="preserve">                ( uint ) this.AppReturnCode ,   // Use the exit code stored in the instance.</t>
  </si>
  <si>
    <t xml:space="preserve">                null ,                          // A null pstrOperatorPrompt means use default message.</t>
  </si>
  <si>
    <t xml:space="preserve">                NormalExitAction.ExitImmediately );</t>
  </si>
  <si>
    <t xml:space="preserve">        }   // public void NormalExit (1 of 8)</t>
  </si>
  <si>
    <t xml:space="preserve">        /// Exit the program normally, optionally returning a nonzero status</t>
  </si>
  <si>
    <t xml:space="preserve">        /// code. If running in debug mode, use WaitForCarbonUnit to block until</t>
  </si>
  <si>
    <t xml:space="preserve">        /// the tester has a chance to read the output or capture it into the</t>
  </si>
  <si>
    <t xml:space="preserve">        /// clipboard.</t>
  </si>
  <si>
    <t xml:space="preserve">        /// This unsigned integer specifies the program's exit code.</t>
  </si>
  <si>
    <t xml:space="preserve">        /// &lt;param name="pstrOperatorPrompt"&gt;</t>
  </si>
  <si>
    <t xml:space="preserve">        /// This string specifies an alternative message for method</t>
  </si>
  <si>
    <t xml:space="preserve">        /// WaitForCarbonUnit to display. If this is an empty string or null</t>
  </si>
  <si>
    <t xml:space="preserve">        /// reference, a default message, "Please press the ENTER (Return) key</t>
  </si>
  <si>
    <t xml:space="preserve">        /// to exit the program." is shown.</t>
  </si>
  <si>
    <t xml:space="preserve">        /// This is the original implementation, since pre-empted by the simpler</t>
  </si>
  <si>
    <t xml:space="preserve">        /// method call that takes no arguments.</t>
  </si>
  <si>
    <t xml:space="preserve">        /// When I implemented the #if DEBUG conditional compilation block, I</t>
  </si>
  <si>
    <t xml:space="preserve">        /// didn't take into consideration that the only time that #if DEBUG is</t>
  </si>
  <si>
    <t xml:space="preserve">        /// true is when the debug version of this library is built. I decided</t>
  </si>
  <si>
    <t xml:space="preserve">        /// to leave it in, as a reminder to myself of how it can be effectively</t>
  </si>
  <si>
    <t xml:space="preserve">        /// used with some of the new overloads.</t>
  </si>
  <si>
    <t xml:space="preserve">        public void NormalExit (</t>
  </si>
  <si>
    <t xml:space="preserve">            uint puintStatusCode ,</t>
  </si>
  <si>
    <t xml:space="preserve">            string pstrOperatorPrompt )</t>
  </si>
  <si>
    <t>#if DEBUG</t>
  </si>
  <si>
    <t xml:space="preserve">            if ( puintStatusCode != StandardConstants.ERROR_SUCCESS )</t>
  </si>
  <si>
    <t xml:space="preserve">                Console.WriteLine (</t>
  </si>
  <si>
    <t xml:space="preserve">                    Properties.Resources.MSG_APPSTATUSCODE ,</t>
  </si>
  <si>
    <t xml:space="preserve">                    puintStatusCode ,</t>
  </si>
  <si>
    <t xml:space="preserve">                    Environment.NewLine );</t>
  </si>
  <si>
    <t xml:space="preserve">            DisplayAids.WaitForCarbonUnit ( pstrOperatorPrompt );</t>
  </si>
  <si>
    <t>#endif</t>
  </si>
  <si>
    <t xml:space="preserve">        }   // public void NormalExit (2 of 8)</t>
  </si>
  <si>
    <t xml:space="preserve">        /// clipboard. Regardless, if WaitForCarbonUnit is called, its default</t>
  </si>
  <si>
    <t xml:space="preserve">        /// message is displayed.</t>
  </si>
  <si>
    <t xml:space="preserve">        public void NormalExit ( uint puintStatusCode )</t>
  </si>
  <si>
    <t xml:space="preserve">                puintStatusCode ,               // Pass along the caller's exit code.</t>
  </si>
  <si>
    <t xml:space="preserve">        }   // public void NormalExit (3 of 8)</t>
  </si>
  <si>
    <t xml:space="preserve">        /// code, and optionally calling WaitForCarbonUnit to suspend execution</t>
  </si>
  <si>
    <t xml:space="preserve">        /// into the clipboard.</t>
  </si>
  <si>
    <t xml:space="preserve">        /// &lt;param name="penmNormalExitAction"&gt;</t>
  </si>
  <si>
    <t xml:space="preserve">        /// This member of the NormalExitAction enumeration controls whether to</t>
  </si>
  <si>
    <t xml:space="preserve">        /// use WaitForCarbonUnit to suspend execution until an operator has a</t>
  </si>
  <si>
    <t xml:space="preserve">        /// chance to read the output. See the NormalExitAction enumeration for</t>
  </si>
  <si>
    <t xml:space="preserve">        /// details.</t>
  </si>
  <si>
    <t xml:space="preserve">        /// This method differs sufficiently from overload 2 that it stands on</t>
  </si>
  <si>
    <t xml:space="preserve">        /// its own. Theoretically, every other overload could call this one.</t>
  </si>
  <si>
    <t xml:space="preserve">            string pstrOperatorPrompt ,</t>
  </si>
  <si>
    <t xml:space="preserve">            NormalExitAction penmNormalExitAction )</t>
  </si>
  <si>
    <t xml:space="preserve">            NormalExit ( </t>
  </si>
  <si>
    <t xml:space="preserve">                pstrOperatorPrompt ,</t>
  </si>
  <si>
    <t xml:space="preserve">                penmNormalExitAction ,</t>
  </si>
  <si>
    <t xml:space="preserve">                TIMED_WAIT_DEFAULT_SECONDS ,</t>
  </si>
  <si>
    <t xml:space="preserve">                TIMED_WAIT_WAITING_FOR_DEFAULT ,</t>
  </si>
  <si>
    <t xml:space="preserve">                TIMED_WAIT_TEXT_COLOR_DEFAULT ,</t>
  </si>
  <si>
    <t xml:space="preserve">                TIMED_WAIT_BACKGROUND_COLOR_DEFAULT ,</t>
  </si>
  <si>
    <t xml:space="preserve">                TIMED_WAIT_INTERRUPT_CRITERION );</t>
  </si>
  <si>
    <t xml:space="preserve">        }   // public void NormalExit (4 of 8)</t>
  </si>
  <si>
    <t xml:space="preserve">        /// This method calls the fourth overload, the most coprehensive</t>
  </si>
  <si>
    <t xml:space="preserve">        /// implementation, passing in the return code stored in the instance,</t>
  </si>
  <si>
    <t xml:space="preserve">        /// which I explicitly cast to the unsigned integer type of its first</t>
  </si>
  <si>
    <t xml:space="preserve">        /// argument.</t>
  </si>
  <si>
    <t xml:space="preserve">            NormalExit ( ( uint ) this.AppReturnCode ,      // Use the exit code stored in the instance.</t>
  </si>
  <si>
    <t xml:space="preserve">                pstrOperatorPrompt ,                        // Pass along the caller's message for WaitForCarbonUnit.</t>
  </si>
  <si>
    <t xml:space="preserve">                penmNormalExitAction );                     // Pass along the caller's instructions.</t>
  </si>
  <si>
    <t xml:space="preserve">        }   // public void NormalExit (5 of 8)</t>
  </si>
  <si>
    <t xml:space="preserve">        /// implementation, passing in a null reference for the carbon unit</t>
  </si>
  <si>
    <t xml:space="preserve">        /// prompt message, forcing it to use its default message.</t>
  </si>
  <si>
    <t xml:space="preserve">                penmNormalExitAction );         // Pass along the caller's instructions.</t>
  </si>
  <si>
    <t xml:space="preserve">        }   // public void NormalExit (6 of 8)</t>
  </si>
  <si>
    <t xml:space="preserve">        /// argument, and a null reference for the carbon unit prompt message,</t>
  </si>
  <si>
    <t xml:space="preserve">        /// forcing it to use its default message.</t>
  </si>
  <si>
    <t xml:space="preserve">        public void NormalExit ( NormalExitAction penmNormalExitAction )</t>
  </si>
  <si>
    <t xml:space="preserve">        }   // public void NormalExit (7 of 8)</t>
  </si>
  <si>
    <t xml:space="preserve">        /// &lt;param name="puintSecondsToWait"&gt;</t>
  </si>
  <si>
    <t xml:space="preserve">        /// Specify the number of seconds to wait, which must be a whole number</t>
  </si>
  <si>
    <t xml:space="preserve">        /// greater than or equal to zero. Setting this value to zero causes the</t>
  </si>
  <si>
    <t xml:space="preserve">        /// method to wait for 30 seconds.</t>
  </si>
  <si>
    <t xml:space="preserve">        /// &lt;param name="pstrCountdownWaitingFor"&gt;</t>
  </si>
  <si>
    <t xml:space="preserve">        /// Specify the text to display along with the remaining time. If this</t>
  </si>
  <si>
    <t xml:space="preserve">        /// argument is null (Nothing in Visual Basic) or the empy string, the</t>
  </si>
  <si>
    <t xml:space="preserve">        /// method uses a default message.</t>
  </si>
  <si>
    <t xml:space="preserve">        /// </t>
  </si>
  <si>
    <t xml:space="preserve">        /// Currently, the default description is "Program ending," which is</t>
  </si>
  <si>
    <t xml:space="preserve">        /// taken from a resource string in the WizardWrx.ConsoleAids class that</t>
  </si>
  <si>
    <t xml:space="preserve">        /// implements this feature.</t>
  </si>
  <si>
    <t xml:space="preserve">        /// &lt;param name="pclrTextColor"&gt;</t>
  </si>
  <si>
    <t xml:space="preserve">        /// Specify a member of the ConsoleColor enumeration to control the text</t>
  </si>
  <si>
    <t xml:space="preserve">        /// color used to display the countdown message.</t>
  </si>
  <si>
    <t xml:space="preserve">        /// To use the default (current) screen colors, specify the same</t>
  </si>
  <si>
    <t xml:space="preserve">        /// ConsoleColor value for pclrTextColor and pclrTextBackgroundColor.</t>
  </si>
  <si>
    <t xml:space="preserve">        /// &lt;param name="pclrTextBackgroundColor"&gt;</t>
  </si>
  <si>
    <t xml:space="preserve">        /// Specify a member of the ConsoleColor enumeration to control the</t>
  </si>
  <si>
    <t xml:space="preserve">        /// background color used to display the countdown message.</t>
  </si>
  <si>
    <t xml:space="preserve">        /// &lt;param name="penmInterruptCriterion"&gt;</t>
  </si>
  <si>
    <t xml:space="preserve">        /// Specify a member of the DisplayAids.InterruptCriterion enumeration</t>
  </si>
  <si>
    <t xml:space="preserve">        /// to indicate whether you want the timed wait to be interruptible, and</t>
  </si>
  <si>
    <t xml:space="preserve">        /// under what conditions.</t>
  </si>
  <si>
    <t xml:space="preserve">            NormalExitAction penmNormalExitAction ,</t>
  </si>
  <si>
    <t xml:space="preserve">            uint puintSecondsToWait ,</t>
  </si>
  <si>
    <t xml:space="preserve">            string pstrCountdownWaitingFor ,</t>
  </si>
  <si>
    <t xml:space="preserve">            ConsoleColor pclrTextColor ,</t>
  </si>
  <si>
    <t xml:space="preserve">            ConsoleColor pclrTextBackgroundColor ,</t>
  </si>
  <si>
    <t xml:space="preserve">            DisplayAids.InterruptCriterion penmInterruptCriterion )</t>
  </si>
  <si>
    <t xml:space="preserve">            if ( penmNormalExitAction != NormalExitAction.Silent )</t>
  </si>
  <si>
    <t xml:space="preserve">                this.DisplayEOJMessage ( );</t>
  </si>
  <si>
    <t xml:space="preserve">            }   // if ( penmNormalExitAction != NormalExitAction.Silent )</t>
  </si>
  <si>
    <t xml:space="preserve">            switch ( penmNormalExitAction )</t>
  </si>
  <si>
    <t xml:space="preserve">                case NormalExitAction.ExitImmediately:</t>
  </si>
  <si>
    <t xml:space="preserve">                case NormalExitAction.Silent:</t>
  </si>
  <si>
    <t xml:space="preserve">                    Environment.Exit ( ( int ) puintStatusCode );</t>
  </si>
  <si>
    <t xml:space="preserve">                    break;</t>
  </si>
  <si>
    <t xml:space="preserve">                case NormalExitAction.Timed:</t>
  </si>
  <si>
    <t xml:space="preserve">                    Console.WriteLine ( pstrOperatorPrompt );</t>
  </si>
  <si>
    <t xml:space="preserve">                    DisplayAids.TimedWait (</t>
  </si>
  <si>
    <t xml:space="preserve">                        puintSecondsToWait ,                                // puintWaitSeconds</t>
  </si>
  <si>
    <t xml:space="preserve">                        pstrCountdownWaitingFor ,                           // pstrCountdownWaitingFor</t>
  </si>
  <si>
    <t xml:space="preserve">                        ConsoleColor.Black ,                                // pclrTextColor</t>
  </si>
  <si>
    <t xml:space="preserve">                        ConsoleColor.Black ,                                // pclrTextBackgroundColor</t>
  </si>
  <si>
    <t xml:space="preserve">                        penmInterruptCriterion );    // penmInterruptCriterion</t>
  </si>
  <si>
    <t xml:space="preserve">                case NormalExitAction.HaltOnError:</t>
  </si>
  <si>
    <t xml:space="preserve">                    if ( puintStatusCode == StandardConstants.ERROR_SUCCESS )</t>
  </si>
  <si>
    <t xml:space="preserve">                    {   // No news is good news. Keep going.</t>
  </si>
  <si>
    <t xml:space="preserve">                        Environment.Exit ( StandardConstants.ERROR_SUCCESS );</t>
  </si>
  <si>
    <t xml:space="preserve">                    }   // TRUE block, if ( puintStatusCode == StandardConstants.ERROR_SUCCESS )</t>
  </si>
  <si>
    <t xml:space="preserve">                    {   // There was an error. Halt the script.</t>
  </si>
  <si>
    <t xml:space="preserve">                        DisplayAids.WaitForCarbonUnit ( pstrOperatorPrompt );</t>
  </si>
  <si>
    <t xml:space="preserve">                        Environment.Exit ( ( int ) puintStatusCode );</t>
  </si>
  <si>
    <t xml:space="preserve">                    }   // FALSE block, if ( puintStatusCode == StandardConstants.ERROR_SUCCESS )</t>
  </si>
  <si>
    <t xml:space="preserve">                case NormalExitAction.WaitForOperator:</t>
  </si>
  <si>
    <t xml:space="preserve">                    ConsoleAppAids.DisplayAids.WaitForCarbonUnit ( pstrOperatorPrompt );</t>
  </si>
  <si>
    <t xml:space="preserve">                default:</t>
  </si>
  <si>
    <t xml:space="preserve">                    Console.WriteLine (</t>
  </si>
  <si>
    <t xml:space="preserve">                        Properties.Resources.NORMAL_EXIT_INTERNAL_ERROR ,           // Message template</t>
  </si>
  <si>
    <t xml:space="preserve">                        penmNormalExitAction ,                                      // Token 0</t>
  </si>
  <si>
    <t xml:space="preserve">                        NormalExitAction.WaitForOperator ,                          // Token 1</t>
  </si>
  <si>
    <t xml:space="preserve">                        Environment.NewLine );                                      // Token 2</t>
  </si>
  <si>
    <t xml:space="preserve">            }   // switch ( penmNormalExitAction )</t>
  </si>
  <si>
    <t xml:space="preserve">        }   // public void NormalExit (8 of 8)</t>
  </si>
  <si>
    <t xml:space="preserve">Properties.Resources.MSG_APPSTATUSCODE </t>
  </si>
  <si>
    <t>Properties.Resources.CONSOLE_APP_BOJ_NO_UTC</t>
  </si>
  <si>
    <t>Properties.Resources.CONSOLE_APP_EOJ_NO_UTC</t>
  </si>
  <si>
    <t>Properties.Resources.CONSOLE_APP_EOJ_SPLIT_TOKEN</t>
  </si>
  <si>
    <t>Properties.Resources.CONSOLE_APP_EOJ_REPLACEMENT_TOKEN</t>
  </si>
  <si>
    <t>DLL Resources</t>
  </si>
  <si>
    <t>Fully Qualified Name</t>
  </si>
  <si>
    <t>Unqualified Name</t>
  </si>
  <si>
    <t xml:space="preserve">MSG_APPSTATUSCODE </t>
  </si>
  <si>
    <t>CONSOLE_APP_BOJ_NO_UTC</t>
  </si>
  <si>
    <t>CONSOLE_APP_EOJ_NO_UTC</t>
  </si>
  <si>
    <t>CONSOLE_APP_EOJ_SPLIT_TOKEN</t>
  </si>
  <si>
    <t>CONSOLE_APP_EOJ_REPLACEMENT_TOKEN</t>
  </si>
  <si>
    <t>{1}    Exit code = {0}{1}{1}</t>
  </si>
  <si>
    <t xml:space="preserve"> End{0}</t>
  </si>
  <si>
    <t xml:space="preserve"> End - </t>
  </si>
  <si>
    <t>{0}{1} End - {2}{0}Elapsed time: {3}</t>
  </si>
  <si>
    <t>{0}, version {1}{2}Begin @ {3}{2}</t>
  </si>
  <si>
    <t>Template for startup mssage to display on console</t>
  </si>
  <si>
    <t>Template for shutdown mssage to display on console</t>
  </si>
  <si>
    <t>NORMAL_EXIT_INTERNAL_ERROR</t>
  </si>
  <si>
    <t>Properties.Resources.ERRMSG_UNBALANCED</t>
  </si>
  <si>
    <t>Properties.Resources.NORMAL_EXIT_INTERNAL_ERROR</t>
  </si>
  <si>
    <t>The sizes of internal tables s_astrTrimStart and s_astrExceptionTypeNames are unequal.{2}    s_astrTrimStart Elemnent Count          = {0}{2}    s_astrExceptionTypeNames  Elemnent Count = {1}{2}</t>
  </si>
  <si>
    <t>Value</t>
  </si>
  <si>
    <t>Properties.Resources.ERRMSG_EX_MSG_TPL</t>
  </si>
  <si>
    <t xml:space="preserve">          An {0} exception was caught in routine {1}:{3}               Message          = {2}{3}</t>
  </si>
  <si>
    <t>This is the standard message template used by all exception reporting routines in the ExceptionLogger class.</t>
  </si>
  <si>
    <t>Error caught in NormalExit routine: NormalExitAction value of {0} is invalid{2}                                    Treating as {1}</t>
  </si>
  <si>
    <t>Properties.Resources.ERRMSG_EX_EVTMSG_TPL</t>
  </si>
  <si>
    <t>Properties.Resources.ERRMSG_ARGNAME_TPL</t>
  </si>
  <si>
    <t xml:space="preserve">               Argument Name    = {0}{1}</t>
  </si>
  <si>
    <t>Argument exception reports use this template to display the argument name in a way that makes it easier to find.</t>
  </si>
  <si>
    <t>Properties.Resources.ERRMSG_ARGVALUE_TPL</t>
  </si>
  <si>
    <t xml:space="preserve">               Argument Value   = {0}{1}</t>
  </si>
  <si>
    <t>Argument exception reports use this template to display the argument value in a way that makes it easier to find.</t>
  </si>
  <si>
    <t>Properties.Resources.ERRMSG_OBJNAME_TPL</t>
  </si>
  <si>
    <t xml:space="preserve">               Object Name      = {0}{1}</t>
  </si>
  <si>
    <t>Properties.Resources.ERRMSG_FILENAME_TPL</t>
  </si>
  <si>
    <t xml:space="preserve">               File Name        = {0}{1}</t>
  </si>
  <si>
    <t>Properties.Resources.ERRMSG_FORMATSTRING_TPL</t>
  </si>
  <si>
    <t xml:space="preserve">               Format String    = {0}{1}</t>
  </si>
  <si>
    <t>Properties.Resources.ERRMSG_METHOD</t>
  </si>
  <si>
    <t xml:space="preserve">               Exception Method = {0}{1}</t>
  </si>
  <si>
    <t>Properties.Resources.ERRMSG_SOURCE</t>
  </si>
  <si>
    <t xml:space="preserve">               Exception Source = {0}{1}</t>
  </si>
  <si>
    <t>Properties.Resources.THIS_IS_THE_LAST</t>
  </si>
  <si>
    <t xml:space="preserve">     There are no further exceptions to report.{0}</t>
  </si>
  <si>
    <t>Properties.Resources.ERRMSG_INNER</t>
  </si>
  <si>
    <t xml:space="preserve">          Inner Exception:{1}               Message          = {0}{1}</t>
  </si>
  <si>
    <t>Properties.Resources.STACKTRACE_TPL</t>
  </si>
  <si>
    <t>{1}Stack Trace Begin:{1}{0}{1}End of Stack Trace{1}{1}</t>
  </si>
  <si>
    <t>Moved</t>
  </si>
  <si>
    <t>Check List</t>
  </si>
  <si>
    <t>ApplicationInstance Migration</t>
  </si>
  <si>
    <t>AppExceptionLogger</t>
  </si>
  <si>
    <t>ThreadSafeExceptionReporting</t>
  </si>
  <si>
    <t>The only assembly that uses it is NBReplT.exe</t>
  </si>
  <si>
    <t>ApplicationHelpers\_Notes_and_References\Decoupling_Lists.XLSX</t>
  </si>
  <si>
    <t>Error</t>
  </si>
  <si>
    <t>The type or namespace name 'StateManagerExceptionLogger' could not be found (are you missing a using directive or an assembly reference?)</t>
  </si>
  <si>
    <t>C:\Documents and Settings\DAG\My Documents\Visual Studio 2010\Projects\WizardWrx_Libs\ConsoleAppAids2\TestStand\Program.cs</t>
  </si>
  <si>
    <t>TestStand</t>
  </si>
  <si>
    <t>The type or namespace name 'MessageInColor' could not be found (are you missing a using directive or an assembly reference?)</t>
  </si>
  <si>
    <t>C:\Documents and Settings\DAG\My Documents\Visual Studio 2010\Projects\WizardWrx_Libs\ConsoleAppAids2\ConsoleAppAids2\FixedConsoleWriter.cs</t>
  </si>
  <si>
    <t>ConsoleAppAids2</t>
  </si>
  <si>
    <t>The type or namespace name 'DLLServices' does not exist in the namespace 'WizardWrx.ApplicationHelpers2' (are you missing an assembly reference?)</t>
  </si>
  <si>
    <t>The type or namespace name 'ApplicationHelpers2' does not exist in the namespace 'WizardWrx' (are you missing an assembly reference?)</t>
  </si>
  <si>
    <t>The name 'StateManagerExceptionLogger' does not exist in the current context</t>
  </si>
  <si>
    <t>Severity</t>
  </si>
  <si>
    <t>Counter</t>
  </si>
  <si>
    <t>Column</t>
  </si>
  <si>
    <t>Project</t>
  </si>
  <si>
    <t>Absolute Souree File Name</t>
  </si>
  <si>
    <t>Souree File Name</t>
  </si>
  <si>
    <t>Complete Message</t>
  </si>
  <si>
    <t>Just the Diagnostic</t>
  </si>
  <si>
    <t>Compiler Diagnostics</t>
  </si>
  <si>
    <t>--------------------------------------------------------------------------------</t>
  </si>
  <si>
    <t>Static MessageInColor.WriteLine() Tests Begin</t>
  </si>
  <si>
    <t xml:space="preserve">    Overload  1: True</t>
  </si>
  <si>
    <t xml:space="preserve">    Overload  2: E</t>
  </si>
  <si>
    <t xml:space="preserve">    Overload  3: FGH</t>
  </si>
  <si>
    <t xml:space="preserve">    Overload  4: 1.25</t>
  </si>
  <si>
    <t xml:space="preserve">    Overload  5: 3.333333</t>
  </si>
  <si>
    <t xml:space="preserve">    Overload  6: 3.3333</t>
  </si>
  <si>
    <t xml:space="preserve">    Overload  7: -255</t>
  </si>
  <si>
    <t xml:space="preserve">    Overload  8: -125000</t>
  </si>
  <si>
    <t xml:space="preserve">    Overload  9: Stuff 1</t>
  </si>
  <si>
    <t xml:space="preserve">    Overload 10: This is it.</t>
  </si>
  <si>
    <t xml:space="preserve">    Overload 11: 512</t>
  </si>
  <si>
    <t xml:space="preserve">    Overload 12: 250000</t>
  </si>
  <si>
    <t xml:space="preserve">    Overload 13: object arg0: object arg0 = Stuff 1</t>
  </si>
  <si>
    <t xml:space="preserve">    Overload 14: params object [ ] arg: params object [ ] arg = Stuff 1</t>
  </si>
  <si>
    <t xml:space="preserve">    Overload 15: GH</t>
  </si>
  <si>
    <t xml:space="preserve">    Overload 16: object arg0, object arg1: object arg0 = Stuff 1, object arg1 =</t>
  </si>
  <si>
    <t>Stuff 2</t>
  </si>
  <si>
    <t xml:space="preserve">    Overload 17: object arg0 = Stuff 1, object arg1 = Stuff 2, object arg2 = Stu</t>
  </si>
  <si>
    <t>ff 3</t>
  </si>
  <si>
    <t xml:space="preserve">    Overload 18: object arg0 = Stuff 1, object arg1 = Stuff 2, object arg2 = Stu</t>
  </si>
  <si>
    <t>ff 3, object arg3 = Stuff 4</t>
  </si>
  <si>
    <t>Static MessageInColor.WriteLine() Tests End</t>
  </si>
  <si>
    <t>Capture this screen, then press the ENTER key.</t>
  </si>
  <si>
    <t>&lt;&lt;--- This line is visible.</t>
  </si>
  <si>
    <t>Static MessageInColor.Write() Tests Begin</t>
  </si>
  <si>
    <t>Static MessageInColor.Write() Tests End</t>
  </si>
  <si>
    <t>Instance MessageInColor.ColorWriteLine() Tests Begin</t>
  </si>
  <si>
    <t>Instance MessageInColor.ColorWriteLine() Tests End</t>
  </si>
  <si>
    <t>Instance MessageInColor.ColorWrite() Tests Begin</t>
  </si>
  <si>
    <t>Instance MessageInColor.ColorWrite() Tests End</t>
  </si>
  <si>
    <t>pstrPrompt</t>
  </si>
  <si>
    <t>Each of the next four screens displays all 18 overloads of a method.\r\nThe program pauses to allow you to capture each screen.\r\nPress the Enter key when you are ready to see the first screen.</t>
  </si>
  <si>
    <t>string</t>
  </si>
  <si>
    <t>-</t>
  </si>
  <si>
    <t>cki</t>
  </si>
  <si>
    <t>{System.ConsoleKeyInfo}</t>
  </si>
  <si>
    <t>System.ConsoleKeyInfo</t>
  </si>
  <si>
    <t>_key</t>
  </si>
  <si>
    <t>A</t>
  </si>
  <si>
    <t>System.ConsoleKey</t>
  </si>
  <si>
    <t>_keyChar</t>
  </si>
  <si>
    <t>65 'A'</t>
  </si>
  <si>
    <t>char</t>
  </si>
  <si>
    <t>_mods</t>
  </si>
  <si>
    <t>System.ConsoleModifiers</t>
  </si>
  <si>
    <t>Key</t>
  </si>
  <si>
    <t>KeyChar</t>
  </si>
  <si>
    <t>Modifiers</t>
  </si>
  <si>
    <t>ECHO_OFF</t>
  </si>
  <si>
    <t>bool</t>
  </si>
  <si>
    <t>B</t>
  </si>
  <si>
    <t>66 'B'</t>
  </si>
  <si>
    <t>C</t>
  </si>
  <si>
    <t>67 'C'</t>
  </si>
  <si>
    <t>Type</t>
  </si>
  <si>
    <t>Property</t>
  </si>
  <si>
    <t>Has Props</t>
  </si>
  <si>
    <t>Object</t>
  </si>
  <si>
    <t>I put this key into the buffer while the program was running, but before execution reached the WaitForCarbonUnit keyboard reader.</t>
  </si>
  <si>
    <t>D</t>
  </si>
  <si>
    <t>100 'd'</t>
  </si>
  <si>
    <t>E</t>
  </si>
  <si>
    <t>101 'e'</t>
  </si>
  <si>
    <t>F</t>
  </si>
  <si>
    <t>102 'f'</t>
  </si>
  <si>
    <t>J</t>
  </si>
  <si>
    <t>106 'j'</t>
  </si>
  <si>
    <t>Enter</t>
  </si>
  <si>
    <t>13 '\r'</t>
  </si>
  <si>
    <t>I put this key into the buffer after the prompt displayed, which didn't happen until the first three characters were swallowed whole.</t>
  </si>
  <si>
    <t>This character arrived on the next read, which happened after the program ate the lower case J.</t>
  </si>
  <si>
    <t>Extra Linefeed</t>
  </si>
  <si>
    <t>No Gun Jumping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</si>
</sst>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onsolas"/>
      <family val="2"/>
    </font>
    <font>
      <b/>
      <sz val="14"/>
      <color theme="1"/>
      <name val="Tahoma"/>
      <family val="2"/>
    </font>
    <font>
      <sz val="11"/>
      <color theme="1"/>
      <name val="Tahoma"/>
      <family val="2"/>
    </font>
    <font>
      <u/>
      <sz val="11"/>
      <color theme="10"/>
      <name val="Consolas"/>
      <family val="2"/>
    </font>
    <font>
      <b/>
      <sz val="12"/>
      <color rgb="FFFFC000"/>
      <name val="Tahoma"/>
      <family val="2"/>
    </font>
    <font>
      <sz val="8"/>
      <color theme="1"/>
      <name val="Tahoma"/>
      <family val="2"/>
    </font>
    <font>
      <u/>
      <sz val="11"/>
      <color theme="10"/>
      <name val="Tahoma"/>
      <family val="2"/>
    </font>
    <font>
      <b/>
      <sz val="14"/>
      <color rgb="FFFFC000"/>
      <name val="Tahoma"/>
      <family val="2"/>
    </font>
    <font>
      <sz val="8"/>
      <color theme="1"/>
      <name val="Consolas"/>
      <family val="2"/>
    </font>
    <font>
      <b/>
      <sz val="14"/>
      <color rgb="FFFFFF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rgb="FFFFC000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rgb="FFFFC000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thin">
        <color theme="5" tint="-0.499984740745262"/>
      </right>
      <top/>
      <bottom/>
      <diagonal/>
    </border>
    <border>
      <left style="thin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rgb="FFFFC000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1" xfId="0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4" fillId="5" borderId="2" xfId="0" applyFont="1" applyFill="1" applyBorder="1"/>
    <xf numFmtId="49" fontId="4" fillId="5" borderId="2" xfId="0" applyNumberFormat="1" applyFont="1" applyFill="1" applyBorder="1"/>
    <xf numFmtId="0" fontId="0" fillId="0" borderId="3" xfId="0" applyBorder="1"/>
    <xf numFmtId="49" fontId="0" fillId="0" borderId="3" xfId="0" applyNumberFormat="1" applyBorder="1"/>
    <xf numFmtId="0" fontId="0" fillId="0" borderId="4" xfId="0" applyBorder="1"/>
    <xf numFmtId="49" fontId="0" fillId="0" borderId="4" xfId="0" applyNumberFormat="1" applyBorder="1"/>
    <xf numFmtId="0" fontId="2" fillId="0" borderId="3" xfId="0" applyFont="1" applyBorder="1"/>
    <xf numFmtId="0" fontId="2" fillId="0" borderId="4" xfId="0" applyFont="1" applyBorder="1"/>
    <xf numFmtId="0" fontId="4" fillId="5" borderId="5" xfId="0" applyFont="1" applyFill="1" applyBorder="1"/>
    <xf numFmtId="0" fontId="0" fillId="0" borderId="3" xfId="0" applyNumberFormat="1" applyBorder="1"/>
    <xf numFmtId="0" fontId="5" fillId="0" borderId="4" xfId="0" applyNumberFormat="1" applyFont="1" applyBorder="1"/>
    <xf numFmtId="49" fontId="5" fillId="0" borderId="4" xfId="0" applyNumberFormat="1" applyFont="1" applyBorder="1"/>
    <xf numFmtId="0" fontId="0" fillId="6" borderId="4" xfId="0" applyFill="1" applyBorder="1"/>
    <xf numFmtId="0" fontId="2" fillId="6" borderId="4" xfId="0" applyFont="1" applyFill="1" applyBorder="1"/>
    <xf numFmtId="49" fontId="0" fillId="6" borderId="4" xfId="0" applyNumberFormat="1" applyFill="1" applyBorder="1"/>
    <xf numFmtId="0" fontId="5" fillId="6" borderId="4" xfId="0" applyNumberFormat="1" applyFont="1" applyFill="1" applyBorder="1"/>
    <xf numFmtId="0" fontId="6" fillId="2" borderId="1" xfId="1" applyFont="1" applyFill="1" applyBorder="1" applyAlignment="1">
      <alignment vertical="top"/>
    </xf>
    <xf numFmtId="0" fontId="6" fillId="6" borderId="1" xfId="1" applyFont="1" applyFill="1" applyBorder="1" applyAlignment="1">
      <alignment vertical="top"/>
    </xf>
    <xf numFmtId="0" fontId="7" fillId="7" borderId="2" xfId="0" applyFont="1" applyFill="1" applyBorder="1"/>
    <xf numFmtId="0" fontId="0" fillId="0" borderId="10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6" xfId="0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3" fillId="0" borderId="0" xfId="1"/>
    <xf numFmtId="0" fontId="3" fillId="0" borderId="1" xfId="1" applyFill="1" applyBorder="1" applyAlignment="1">
      <alignment vertical="top"/>
    </xf>
    <xf numFmtId="0" fontId="4" fillId="5" borderId="14" xfId="0" applyFont="1" applyFill="1" applyBorder="1"/>
    <xf numFmtId="0" fontId="0" fillId="0" borderId="4" xfId="0" applyBorder="1" applyAlignment="1">
      <alignment vertical="top"/>
    </xf>
    <xf numFmtId="0" fontId="8" fillId="0" borderId="0" xfId="0" applyFont="1"/>
    <xf numFmtId="0" fontId="9" fillId="8" borderId="15" xfId="0" applyNumberFormat="1" applyFont="1" applyFill="1" applyBorder="1"/>
    <xf numFmtId="0" fontId="0" fillId="0" borderId="0" xfId="0" applyAlignment="1">
      <alignment horizontal="left"/>
    </xf>
    <xf numFmtId="0" fontId="4" fillId="9" borderId="2" xfId="0" applyFont="1" applyFill="1" applyBorder="1"/>
    <xf numFmtId="0" fontId="4" fillId="9" borderId="14" xfId="0" applyFont="1" applyFill="1" applyBorder="1"/>
    <xf numFmtId="0" fontId="4" fillId="9" borderId="14" xfId="0" applyFont="1" applyFill="1" applyBorder="1" applyAlignment="1">
      <alignment horizontal="left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left" vertical="top" wrapText="1"/>
    </xf>
    <xf numFmtId="0" fontId="4" fillId="9" borderId="5" xfId="0" applyFont="1" applyFill="1" applyBorder="1"/>
    <xf numFmtId="0" fontId="2" fillId="0" borderId="16" xfId="0" applyFont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7" fillId="7" borderId="11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0" fontId="0" fillId="0" borderId="13" xfId="0" applyBorder="1" applyAlignment="1">
      <alignment vertical="top"/>
    </xf>
  </cellXfs>
  <cellStyles count="2">
    <cellStyle name="Hyperlink" xfId="1" builtinId="8"/>
    <cellStyle name="Normal" xfId="0" builtinId="0"/>
  </cellStyles>
  <dxfs count="32"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FF99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in/Excel_AddIns/P6CXLSLib3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tringTests True-False Samples"/>
      <sheetName val="Other Samples"/>
      <sheetName val="VER_STRING_NAME_P6C"/>
    </sheetNames>
    <definedNames>
      <definedName name="AddBackslash"/>
      <definedName name="GetFile"/>
      <definedName name="GetFolder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../../ApplicationHelpers/_Notes_and_References/Decoupling_Lists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A8"/>
  <sheetViews>
    <sheetView workbookViewId="0">
      <selection activeCell="A7" sqref="A7"/>
    </sheetView>
  </sheetViews>
  <sheetFormatPr defaultRowHeight="15" x14ac:dyDescent="0.25"/>
  <cols>
    <col min="1" max="1" width="30.5" bestFit="1" customWidth="1"/>
  </cols>
  <sheetData>
    <row r="1" spans="1:1" x14ac:dyDescent="0.25">
      <c r="A1" s="33" t="s">
        <v>671</v>
      </c>
    </row>
    <row r="2" spans="1:1" x14ac:dyDescent="0.25">
      <c r="A2" s="33" t="s">
        <v>670</v>
      </c>
    </row>
    <row r="3" spans="1:1" x14ac:dyDescent="0.25">
      <c r="A3" s="33" t="s">
        <v>669</v>
      </c>
    </row>
    <row r="4" spans="1:1" x14ac:dyDescent="0.25">
      <c r="A4" s="33" t="s">
        <v>693</v>
      </c>
    </row>
    <row r="5" spans="1:1" x14ac:dyDescent="0.25">
      <c r="A5" s="33" t="s">
        <v>147</v>
      </c>
    </row>
    <row r="6" spans="1:1" x14ac:dyDescent="0.25">
      <c r="A6" s="33" t="s">
        <v>767</v>
      </c>
    </row>
    <row r="7" spans="1:1" x14ac:dyDescent="0.25">
      <c r="A7" s="33" t="s">
        <v>768</v>
      </c>
    </row>
    <row r="8" spans="1:1" x14ac:dyDescent="0.25">
      <c r="A8" s="33" t="s">
        <v>672</v>
      </c>
    </row>
  </sheetData>
  <sortState caseSensitive="1" ref="A1:A8">
    <sortCondition ref="A1"/>
  </sortState>
  <hyperlinks>
    <hyperlink ref="A3" location="'Check List'!$A$1" display="Check List"/>
    <hyperlink ref="A2" location="'ApplicationInstance Migration'!$A$1" display="ApplicationInstance Migration"/>
    <hyperlink ref="A1" location="AppExceptionLogger!$A$1" display="AppExceptionLogger"/>
    <hyperlink ref="A5" location="ExceptionReporting!$A$1" display="ExceptionReporting"/>
    <hyperlink ref="A8" location="ThreadSafeExceptionReporting!$A$1" display="ThreadSafeExceptionReporting"/>
    <hyperlink ref="A4" location="'Compiler Diagnostics'!$A$1" display="Compiler Diagnostics"/>
    <hyperlink ref="A6" location="'Extra Linefeed'!$A$1" display="Extra Linefeed"/>
    <hyperlink ref="A7" location="'No Gun Jumping'!$A$1" display="No Gun Jumping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9"/>
  <sheetViews>
    <sheetView workbookViewId="0">
      <selection activeCell="A10" sqref="A10"/>
    </sheetView>
  </sheetViews>
  <sheetFormatPr defaultRowHeight="15" x14ac:dyDescent="0.25"/>
  <cols>
    <col min="1" max="1" width="6.5" customWidth="1"/>
    <col min="2" max="2" width="49.375" bestFit="1" customWidth="1"/>
    <col min="3" max="3" width="64.5" bestFit="1" customWidth="1"/>
    <col min="4" max="4" width="35" customWidth="1"/>
    <col min="5" max="5" width="8.75" customWidth="1"/>
    <col min="6" max="6" width="13" bestFit="1" customWidth="1"/>
    <col min="7" max="7" width="12.625" bestFit="1" customWidth="1"/>
    <col min="8" max="8" width="8.75" customWidth="1"/>
  </cols>
  <sheetData>
    <row r="1" spans="1:5" ht="18" x14ac:dyDescent="0.25">
      <c r="A1" s="1" t="s">
        <v>0</v>
      </c>
      <c r="B1" s="1"/>
      <c r="C1" s="2"/>
      <c r="D1" s="2"/>
    </row>
    <row r="2" spans="1:5" ht="18" x14ac:dyDescent="0.25">
      <c r="A2" s="47" t="s">
        <v>1</v>
      </c>
      <c r="B2" s="47"/>
      <c r="D2" s="3" t="s">
        <v>83</v>
      </c>
      <c r="E2" t="s">
        <v>82</v>
      </c>
    </row>
    <row r="3" spans="1:5" x14ac:dyDescent="0.25">
      <c r="A3" s="48" t="s">
        <v>2</v>
      </c>
      <c r="B3" s="48"/>
    </row>
    <row r="4" spans="1:5" x14ac:dyDescent="0.25">
      <c r="A4" s="49" t="s">
        <v>3</v>
      </c>
      <c r="B4" s="49"/>
    </row>
    <row r="6" spans="1:5" ht="18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x14ac:dyDescent="0.25">
      <c r="A7" s="4">
        <v>1</v>
      </c>
      <c r="B7" s="5" t="s">
        <v>146</v>
      </c>
      <c r="C7" s="22" t="s">
        <v>147</v>
      </c>
      <c r="D7" s="5"/>
      <c r="E7" s="4" t="s">
        <v>3</v>
      </c>
    </row>
    <row r="8" spans="1:5" ht="42.75" x14ac:dyDescent="0.25">
      <c r="A8" s="4">
        <f>+A7+1</f>
        <v>2</v>
      </c>
      <c r="B8" s="5" t="s">
        <v>148</v>
      </c>
      <c r="C8" s="23" t="s">
        <v>149</v>
      </c>
      <c r="D8" s="5" t="s">
        <v>150</v>
      </c>
      <c r="E8" s="4" t="s">
        <v>3</v>
      </c>
    </row>
    <row r="9" spans="1:5" x14ac:dyDescent="0.25">
      <c r="A9" s="4">
        <f t="shared" ref="A9" si="0">+A8+1</f>
        <v>3</v>
      </c>
      <c r="B9" s="5" t="s">
        <v>673</v>
      </c>
      <c r="C9" s="34" t="s">
        <v>674</v>
      </c>
      <c r="D9" s="5"/>
      <c r="E9" s="4" t="s">
        <v>3</v>
      </c>
    </row>
  </sheetData>
  <mergeCells count="3">
    <mergeCell ref="A2:B2"/>
    <mergeCell ref="A3:B3"/>
    <mergeCell ref="A4:B4"/>
  </mergeCells>
  <conditionalFormatting sqref="A7:B8 D7:E8 A9:E9">
    <cfRule type="expression" dxfId="31" priority="13">
      <formula>$E7="Done"</formula>
    </cfRule>
    <cfRule type="expression" dxfId="30" priority="14">
      <formula>$E7="Ready to Test"</formula>
    </cfRule>
    <cfRule type="expression" dxfId="29" priority="15">
      <formula>$E7="In Progress"</formula>
    </cfRule>
  </conditionalFormatting>
  <hyperlinks>
    <hyperlink ref="C7" location="ExceptionReporting!A1" display="ExceptionReporting"/>
    <hyperlink ref="C8" location="ThreadSafeExceptionReporting_Defined" display="ThreadSafeExceptionReporting_Defined"/>
    <hyperlink ref="C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8"/>
  <sheetViews>
    <sheetView workbookViewId="0">
      <pane xSplit="2" ySplit="2" topLeftCell="F9" activePane="bottomRight" state="frozen"/>
      <selection pane="topRight" activeCell="C1" sqref="C1"/>
      <selection pane="bottomLeft" activeCell="A3" sqref="A3"/>
      <selection pane="bottomRight" sqref="A1:B1"/>
    </sheetView>
  </sheetViews>
  <sheetFormatPr defaultRowHeight="15" x14ac:dyDescent="0.25"/>
  <cols>
    <col min="1" max="1" width="18.125" bestFit="1" customWidth="1"/>
    <col min="2" max="2" width="7.875" bestFit="1" customWidth="1"/>
    <col min="3" max="3" width="121.25" bestFit="1" customWidth="1"/>
    <col min="4" max="4" width="56.25" bestFit="1" customWidth="1"/>
    <col min="5" max="5" width="34.625" bestFit="1" customWidth="1"/>
    <col min="6" max="7" width="60.625" customWidth="1"/>
  </cols>
  <sheetData>
    <row r="1" spans="1:8" ht="18" x14ac:dyDescent="0.25">
      <c r="A1" s="53" t="s">
        <v>322</v>
      </c>
      <c r="B1" s="54"/>
      <c r="C1" s="24"/>
      <c r="D1" s="24" t="s">
        <v>621</v>
      </c>
      <c r="E1" s="24"/>
      <c r="F1" s="24"/>
      <c r="G1" s="24"/>
      <c r="H1" s="24"/>
    </row>
    <row r="2" spans="1:8" ht="18" x14ac:dyDescent="0.25">
      <c r="A2" s="24" t="s">
        <v>324</v>
      </c>
      <c r="B2" s="24" t="s">
        <v>323</v>
      </c>
      <c r="C2" s="24" t="s">
        <v>344</v>
      </c>
      <c r="D2" s="24" t="s">
        <v>622</v>
      </c>
      <c r="E2" s="24" t="s">
        <v>623</v>
      </c>
      <c r="F2" s="24" t="s">
        <v>640</v>
      </c>
      <c r="G2" s="24" t="s">
        <v>7</v>
      </c>
      <c r="H2" s="24" t="s">
        <v>668</v>
      </c>
    </row>
    <row r="3" spans="1:8" x14ac:dyDescent="0.25">
      <c r="A3" s="55" t="s">
        <v>316</v>
      </c>
      <c r="B3" s="55" t="s">
        <v>325</v>
      </c>
      <c r="C3" s="27" t="s">
        <v>330</v>
      </c>
      <c r="D3" s="27" t="s">
        <v>616</v>
      </c>
      <c r="E3" s="27" t="s">
        <v>624</v>
      </c>
      <c r="F3" s="29" t="s">
        <v>629</v>
      </c>
      <c r="G3" s="30"/>
      <c r="H3" s="30" t="s">
        <v>3</v>
      </c>
    </row>
    <row r="4" spans="1:8" x14ac:dyDescent="0.25">
      <c r="A4" s="51"/>
      <c r="B4" s="51"/>
      <c r="C4" s="25" t="s">
        <v>331</v>
      </c>
      <c r="D4" s="25" t="s">
        <v>617</v>
      </c>
      <c r="E4" s="25" t="s">
        <v>625</v>
      </c>
      <c r="F4" s="31" t="s">
        <v>633</v>
      </c>
      <c r="G4" s="32" t="s">
        <v>634</v>
      </c>
      <c r="H4" s="32" t="s">
        <v>3</v>
      </c>
    </row>
    <row r="5" spans="1:8" x14ac:dyDescent="0.25">
      <c r="A5" s="51"/>
      <c r="B5" s="51"/>
      <c r="C5" s="25" t="s">
        <v>332</v>
      </c>
      <c r="D5" s="28" t="s">
        <v>618</v>
      </c>
      <c r="E5" s="28" t="s">
        <v>626</v>
      </c>
      <c r="F5" s="31" t="s">
        <v>632</v>
      </c>
      <c r="G5" s="32" t="s">
        <v>635</v>
      </c>
      <c r="H5" s="32" t="s">
        <v>3</v>
      </c>
    </row>
    <row r="6" spans="1:8" x14ac:dyDescent="0.25">
      <c r="A6" s="51"/>
      <c r="B6" s="51"/>
      <c r="C6" s="25" t="s">
        <v>333</v>
      </c>
      <c r="D6" s="28" t="s">
        <v>619</v>
      </c>
      <c r="E6" s="28" t="s">
        <v>627</v>
      </c>
      <c r="F6" s="31" t="s">
        <v>631</v>
      </c>
      <c r="G6" s="32"/>
      <c r="H6" s="32" t="s">
        <v>3</v>
      </c>
    </row>
    <row r="7" spans="1:8" x14ac:dyDescent="0.25">
      <c r="A7" s="51"/>
      <c r="B7" s="51"/>
      <c r="C7" s="25" t="s">
        <v>334</v>
      </c>
      <c r="D7" s="28" t="s">
        <v>620</v>
      </c>
      <c r="E7" s="28" t="s">
        <v>628</v>
      </c>
      <c r="F7" s="31" t="s">
        <v>630</v>
      </c>
      <c r="G7" s="32"/>
      <c r="H7" s="32" t="s">
        <v>3</v>
      </c>
    </row>
    <row r="8" spans="1:8" ht="45" x14ac:dyDescent="0.25">
      <c r="A8" s="51"/>
      <c r="B8" s="51"/>
      <c r="C8" s="25" t="s">
        <v>335</v>
      </c>
      <c r="D8" s="28" t="s">
        <v>638</v>
      </c>
      <c r="E8" s="28" t="s">
        <v>636</v>
      </c>
      <c r="F8" s="31" t="s">
        <v>644</v>
      </c>
      <c r="G8" s="32"/>
      <c r="H8" s="32" t="s">
        <v>3</v>
      </c>
    </row>
    <row r="9" spans="1:8" ht="60" x14ac:dyDescent="0.25">
      <c r="A9" s="51"/>
      <c r="B9" s="51"/>
      <c r="C9" s="25" t="s">
        <v>336</v>
      </c>
      <c r="D9" s="28" t="s">
        <v>637</v>
      </c>
      <c r="E9" s="28" t="str">
        <f>RIGHT(D9,LEN(D9)-21)</f>
        <v>ERRMSG_UNBALANCED</v>
      </c>
      <c r="F9" s="31" t="s">
        <v>639</v>
      </c>
      <c r="G9" s="32"/>
      <c r="H9" s="32" t="s">
        <v>3</v>
      </c>
    </row>
    <row r="10" spans="1:8" ht="30" x14ac:dyDescent="0.25">
      <c r="A10" s="51"/>
      <c r="B10" s="51"/>
      <c r="C10" s="25" t="s">
        <v>337</v>
      </c>
      <c r="D10" s="28" t="s">
        <v>641</v>
      </c>
      <c r="E10" s="28" t="str">
        <f>RIGHT(D10,LEN(D10)-21)</f>
        <v>ERRMSG_EX_MSG_TPL</v>
      </c>
      <c r="F10" s="31" t="s">
        <v>642</v>
      </c>
      <c r="G10" s="32" t="s">
        <v>643</v>
      </c>
      <c r="H10" s="32" t="s">
        <v>3</v>
      </c>
    </row>
    <row r="11" spans="1:8" ht="30" x14ac:dyDescent="0.25">
      <c r="A11" s="51"/>
      <c r="B11" s="51"/>
      <c r="C11" s="25" t="s">
        <v>338</v>
      </c>
      <c r="D11" s="28" t="s">
        <v>645</v>
      </c>
      <c r="E11" s="28" t="str">
        <f>IF(LEN(D11)&gt;0,RIGHT(D11,LEN(D11)-21),"")</f>
        <v>ERRMSG_EX_EVTMSG_TPL</v>
      </c>
      <c r="F11" s="31" t="s">
        <v>642</v>
      </c>
      <c r="G11" s="32" t="s">
        <v>643</v>
      </c>
      <c r="H11" s="32" t="s">
        <v>3</v>
      </c>
    </row>
    <row r="12" spans="1:8" ht="28.5" x14ac:dyDescent="0.25">
      <c r="A12" s="51"/>
      <c r="B12" s="51"/>
      <c r="C12" s="25" t="s">
        <v>339</v>
      </c>
      <c r="D12" s="28" t="s">
        <v>646</v>
      </c>
      <c r="E12" s="28" t="str">
        <f t="shared" ref="E12:E26" si="0">IF(LEN(D12)&gt;0,RIGHT(D12,LEN(D12)-21),"")</f>
        <v>ERRMSG_ARGNAME_TPL</v>
      </c>
      <c r="F12" s="31" t="s">
        <v>647</v>
      </c>
      <c r="G12" s="32" t="s">
        <v>648</v>
      </c>
      <c r="H12" s="32" t="s">
        <v>3</v>
      </c>
    </row>
    <row r="13" spans="1:8" ht="28.5" x14ac:dyDescent="0.25">
      <c r="A13" s="51"/>
      <c r="B13" s="51"/>
      <c r="C13" s="25" t="s">
        <v>340</v>
      </c>
      <c r="D13" s="28" t="s">
        <v>649</v>
      </c>
      <c r="E13" s="28" t="str">
        <f t="shared" si="0"/>
        <v>ERRMSG_ARGVALUE_TPL</v>
      </c>
      <c r="F13" s="31" t="s">
        <v>650</v>
      </c>
      <c r="G13" s="32" t="s">
        <v>651</v>
      </c>
      <c r="H13" s="32" t="s">
        <v>3</v>
      </c>
    </row>
    <row r="14" spans="1:8" x14ac:dyDescent="0.25">
      <c r="A14" s="51"/>
      <c r="B14" s="51"/>
      <c r="C14" s="25" t="s">
        <v>341</v>
      </c>
      <c r="D14" s="28" t="s">
        <v>652</v>
      </c>
      <c r="E14" s="28" t="str">
        <f t="shared" si="0"/>
        <v>ERRMSG_OBJNAME_TPL</v>
      </c>
      <c r="F14" s="31" t="s">
        <v>653</v>
      </c>
      <c r="G14" s="32"/>
      <c r="H14" s="32" t="s">
        <v>3</v>
      </c>
    </row>
    <row r="15" spans="1:8" x14ac:dyDescent="0.25">
      <c r="A15" s="51"/>
      <c r="B15" s="51"/>
      <c r="C15" s="25" t="s">
        <v>342</v>
      </c>
      <c r="D15" s="28" t="s">
        <v>654</v>
      </c>
      <c r="E15" s="28" t="str">
        <f t="shared" si="0"/>
        <v>ERRMSG_FILENAME_TPL</v>
      </c>
      <c r="F15" s="31" t="s">
        <v>655</v>
      </c>
      <c r="G15" s="32"/>
      <c r="H15" s="32" t="s">
        <v>3</v>
      </c>
    </row>
    <row r="16" spans="1:8" x14ac:dyDescent="0.25">
      <c r="A16" s="52"/>
      <c r="B16" s="52"/>
      <c r="C16" s="25" t="s">
        <v>343</v>
      </c>
      <c r="D16" s="28" t="s">
        <v>656</v>
      </c>
      <c r="E16" s="28" t="str">
        <f t="shared" si="0"/>
        <v>ERRMSG_FORMATSTRING_TPL</v>
      </c>
      <c r="F16" s="31" t="s">
        <v>657</v>
      </c>
      <c r="G16" s="32"/>
      <c r="H16" s="32" t="s">
        <v>3</v>
      </c>
    </row>
    <row r="17" spans="1:8" x14ac:dyDescent="0.25">
      <c r="A17" s="50" t="s">
        <v>317</v>
      </c>
      <c r="B17" s="50" t="s">
        <v>345</v>
      </c>
      <c r="C17" s="26" t="s">
        <v>330</v>
      </c>
      <c r="D17" s="28" t="s">
        <v>658</v>
      </c>
      <c r="E17" s="28" t="str">
        <f t="shared" si="0"/>
        <v>ERRMSG_METHOD</v>
      </c>
      <c r="F17" s="31" t="s">
        <v>659</v>
      </c>
      <c r="G17" s="32"/>
      <c r="H17" s="32" t="s">
        <v>3</v>
      </c>
    </row>
    <row r="18" spans="1:8" x14ac:dyDescent="0.25">
      <c r="A18" s="51"/>
      <c r="B18" s="51"/>
      <c r="C18" s="26" t="s">
        <v>346</v>
      </c>
      <c r="D18" s="28" t="s">
        <v>660</v>
      </c>
      <c r="E18" s="28" t="str">
        <f t="shared" si="0"/>
        <v>ERRMSG_SOURCE</v>
      </c>
      <c r="F18" s="31" t="s">
        <v>661</v>
      </c>
      <c r="G18" s="32"/>
      <c r="H18" s="32" t="s">
        <v>3</v>
      </c>
    </row>
    <row r="19" spans="1:8" x14ac:dyDescent="0.25">
      <c r="A19" s="51"/>
      <c r="B19" s="51"/>
      <c r="C19" s="26" t="s">
        <v>347</v>
      </c>
      <c r="D19" s="28" t="s">
        <v>662</v>
      </c>
      <c r="E19" s="28" t="str">
        <f t="shared" si="0"/>
        <v>THIS_IS_THE_LAST</v>
      </c>
      <c r="F19" s="31" t="s">
        <v>663</v>
      </c>
      <c r="G19" s="32"/>
      <c r="H19" s="32" t="s">
        <v>3</v>
      </c>
    </row>
    <row r="20" spans="1:8" ht="30" x14ac:dyDescent="0.25">
      <c r="A20" s="51"/>
      <c r="B20" s="51"/>
      <c r="C20" s="26" t="s">
        <v>334</v>
      </c>
      <c r="D20" s="28" t="s">
        <v>664</v>
      </c>
      <c r="E20" s="28" t="str">
        <f t="shared" si="0"/>
        <v>ERRMSG_INNER</v>
      </c>
      <c r="F20" s="31" t="s">
        <v>665</v>
      </c>
      <c r="G20" s="32"/>
      <c r="H20" s="32" t="s">
        <v>3</v>
      </c>
    </row>
    <row r="21" spans="1:8" x14ac:dyDescent="0.25">
      <c r="A21" s="51"/>
      <c r="B21" s="51"/>
      <c r="C21" s="26" t="s">
        <v>335</v>
      </c>
      <c r="D21" s="28" t="s">
        <v>666</v>
      </c>
      <c r="E21" s="28" t="str">
        <f t="shared" si="0"/>
        <v>STACKTRACE_TPL</v>
      </c>
      <c r="F21" s="31" t="s">
        <v>667</v>
      </c>
      <c r="G21" s="32"/>
      <c r="H21" s="32" t="s">
        <v>3</v>
      </c>
    </row>
    <row r="22" spans="1:8" x14ac:dyDescent="0.25">
      <c r="A22" s="51"/>
      <c r="B22" s="51"/>
      <c r="C22" s="26" t="s">
        <v>348</v>
      </c>
      <c r="D22" s="28"/>
      <c r="E22" s="28" t="str">
        <f t="shared" si="0"/>
        <v/>
      </c>
      <c r="F22" s="31"/>
      <c r="G22" s="32"/>
      <c r="H22" s="32"/>
    </row>
    <row r="23" spans="1:8" x14ac:dyDescent="0.25">
      <c r="A23" s="51"/>
      <c r="B23" s="51"/>
      <c r="C23" s="26" t="s">
        <v>349</v>
      </c>
      <c r="D23" s="28"/>
      <c r="E23" s="28" t="str">
        <f t="shared" si="0"/>
        <v/>
      </c>
      <c r="F23" s="31"/>
      <c r="G23" s="32"/>
      <c r="H23" s="32"/>
    </row>
    <row r="24" spans="1:8" x14ac:dyDescent="0.25">
      <c r="A24" s="51"/>
      <c r="B24" s="51"/>
      <c r="C24" s="26" t="s">
        <v>338</v>
      </c>
      <c r="D24" s="28"/>
      <c r="E24" s="28" t="str">
        <f t="shared" si="0"/>
        <v/>
      </c>
      <c r="F24" s="31"/>
      <c r="G24" s="32"/>
      <c r="H24" s="32"/>
    </row>
    <row r="25" spans="1:8" x14ac:dyDescent="0.25">
      <c r="A25" s="51"/>
      <c r="B25" s="51"/>
      <c r="C25" s="26" t="s">
        <v>350</v>
      </c>
      <c r="D25" s="28"/>
      <c r="E25" s="28" t="str">
        <f t="shared" si="0"/>
        <v/>
      </c>
      <c r="F25" s="31"/>
      <c r="G25" s="32"/>
      <c r="H25" s="32"/>
    </row>
    <row r="26" spans="1:8" x14ac:dyDescent="0.25">
      <c r="A26" s="51"/>
      <c r="B26" s="51"/>
      <c r="C26" s="26" t="s">
        <v>340</v>
      </c>
      <c r="D26" s="28"/>
      <c r="E26" s="28" t="str">
        <f t="shared" si="0"/>
        <v/>
      </c>
      <c r="F26" s="31"/>
      <c r="G26" s="32"/>
      <c r="H26" s="32"/>
    </row>
    <row r="27" spans="1:8" x14ac:dyDescent="0.25">
      <c r="A27" s="51"/>
      <c r="B27" s="51"/>
      <c r="C27" s="26" t="s">
        <v>351</v>
      </c>
      <c r="D27" s="28"/>
      <c r="E27" s="28"/>
      <c r="F27" s="31"/>
      <c r="G27" s="32"/>
      <c r="H27" s="32"/>
    </row>
    <row r="28" spans="1:8" x14ac:dyDescent="0.25">
      <c r="A28" s="52"/>
      <c r="B28" s="52"/>
      <c r="C28" s="26" t="s">
        <v>352</v>
      </c>
    </row>
    <row r="29" spans="1:8" x14ac:dyDescent="0.25">
      <c r="A29" s="50" t="s">
        <v>318</v>
      </c>
      <c r="B29" s="50" t="s">
        <v>326</v>
      </c>
      <c r="C29" s="26" t="s">
        <v>330</v>
      </c>
    </row>
    <row r="30" spans="1:8" x14ac:dyDescent="0.25">
      <c r="A30" s="51"/>
      <c r="B30" s="51"/>
      <c r="C30" s="26" t="s">
        <v>353</v>
      </c>
    </row>
    <row r="31" spans="1:8" x14ac:dyDescent="0.25">
      <c r="A31" s="51"/>
      <c r="B31" s="51"/>
      <c r="C31" s="26" t="s">
        <v>354</v>
      </c>
    </row>
    <row r="32" spans="1:8" x14ac:dyDescent="0.25">
      <c r="A32" s="51"/>
      <c r="B32" s="51"/>
      <c r="C32" s="26" t="s">
        <v>334</v>
      </c>
    </row>
    <row r="33" spans="1:3" x14ac:dyDescent="0.25">
      <c r="A33" s="51"/>
      <c r="B33" s="51"/>
      <c r="C33" s="26" t="s">
        <v>355</v>
      </c>
    </row>
    <row r="34" spans="1:3" x14ac:dyDescent="0.25">
      <c r="A34" s="51"/>
      <c r="B34" s="51"/>
      <c r="C34" s="26" t="s">
        <v>356</v>
      </c>
    </row>
    <row r="35" spans="1:3" x14ac:dyDescent="0.25">
      <c r="A35" s="51"/>
      <c r="B35" s="51"/>
      <c r="C35" s="26" t="s">
        <v>357</v>
      </c>
    </row>
    <row r="36" spans="1:3" x14ac:dyDescent="0.25">
      <c r="A36" s="51"/>
      <c r="B36" s="51"/>
      <c r="C36" s="26" t="s">
        <v>358</v>
      </c>
    </row>
    <row r="37" spans="1:3" x14ac:dyDescent="0.25">
      <c r="A37" s="51"/>
      <c r="B37" s="51"/>
      <c r="C37" s="26" t="s">
        <v>335</v>
      </c>
    </row>
    <row r="38" spans="1:3" x14ac:dyDescent="0.25">
      <c r="A38" s="51"/>
      <c r="B38" s="51"/>
      <c r="C38" s="26" t="s">
        <v>359</v>
      </c>
    </row>
    <row r="39" spans="1:3" x14ac:dyDescent="0.25">
      <c r="A39" s="51"/>
      <c r="B39" s="51"/>
      <c r="C39" s="26" t="s">
        <v>360</v>
      </c>
    </row>
    <row r="40" spans="1:3" x14ac:dyDescent="0.25">
      <c r="A40" s="51"/>
      <c r="B40" s="51"/>
      <c r="C40" s="26" t="s">
        <v>361</v>
      </c>
    </row>
    <row r="41" spans="1:3" x14ac:dyDescent="0.25">
      <c r="A41" s="51"/>
      <c r="B41" s="51"/>
      <c r="C41" s="26" t="s">
        <v>362</v>
      </c>
    </row>
    <row r="42" spans="1:3" x14ac:dyDescent="0.25">
      <c r="A42" s="51"/>
      <c r="B42" s="51"/>
      <c r="C42" s="26" t="s">
        <v>363</v>
      </c>
    </row>
    <row r="43" spans="1:3" x14ac:dyDescent="0.25">
      <c r="A43" s="51"/>
      <c r="B43" s="51"/>
      <c r="C43" s="26" t="s">
        <v>364</v>
      </c>
    </row>
    <row r="44" spans="1:3" x14ac:dyDescent="0.25">
      <c r="A44" s="51"/>
      <c r="B44" s="51"/>
      <c r="C44" s="26" t="s">
        <v>361</v>
      </c>
    </row>
    <row r="45" spans="1:3" x14ac:dyDescent="0.25">
      <c r="A45" s="51"/>
      <c r="B45" s="51"/>
      <c r="C45" s="26" t="s">
        <v>365</v>
      </c>
    </row>
    <row r="46" spans="1:3" x14ac:dyDescent="0.25">
      <c r="A46" s="51"/>
      <c r="B46" s="51"/>
      <c r="C46" s="26" t="s">
        <v>366</v>
      </c>
    </row>
    <row r="47" spans="1:3" x14ac:dyDescent="0.25">
      <c r="A47" s="51"/>
      <c r="B47" s="51"/>
      <c r="C47" s="26" t="s">
        <v>367</v>
      </c>
    </row>
    <row r="48" spans="1:3" x14ac:dyDescent="0.25">
      <c r="A48" s="51"/>
      <c r="B48" s="51"/>
      <c r="C48" s="26" t="s">
        <v>368</v>
      </c>
    </row>
    <row r="49" spans="1:3" x14ac:dyDescent="0.25">
      <c r="A49" s="51"/>
      <c r="B49" s="51"/>
      <c r="C49" s="26" t="s">
        <v>338</v>
      </c>
    </row>
    <row r="50" spans="1:3" x14ac:dyDescent="0.25">
      <c r="A50" s="51"/>
      <c r="B50" s="51"/>
      <c r="C50" s="26" t="s">
        <v>369</v>
      </c>
    </row>
    <row r="51" spans="1:3" x14ac:dyDescent="0.25">
      <c r="A51" s="51"/>
      <c r="B51" s="51"/>
      <c r="C51" s="26" t="s">
        <v>340</v>
      </c>
    </row>
    <row r="52" spans="1:3" x14ac:dyDescent="0.25">
      <c r="A52" s="51"/>
      <c r="B52" s="51"/>
      <c r="C52" s="26" t="s">
        <v>370</v>
      </c>
    </row>
    <row r="53" spans="1:3" x14ac:dyDescent="0.25">
      <c r="A53" s="51"/>
      <c r="B53" s="51"/>
      <c r="C53" s="26"/>
    </row>
    <row r="54" spans="1:3" x14ac:dyDescent="0.25">
      <c r="A54" s="51"/>
      <c r="B54" s="51"/>
      <c r="C54" s="26" t="s">
        <v>371</v>
      </c>
    </row>
    <row r="55" spans="1:3" x14ac:dyDescent="0.25">
      <c r="A55" s="51"/>
      <c r="B55" s="51"/>
      <c r="C55" s="26" t="s">
        <v>372</v>
      </c>
    </row>
    <row r="56" spans="1:3" x14ac:dyDescent="0.25">
      <c r="A56" s="51"/>
      <c r="B56" s="51"/>
      <c r="C56" s="26" t="s">
        <v>373</v>
      </c>
    </row>
    <row r="57" spans="1:3" x14ac:dyDescent="0.25">
      <c r="A57" s="51"/>
      <c r="B57" s="51"/>
      <c r="C57" s="26" t="s">
        <v>374</v>
      </c>
    </row>
    <row r="58" spans="1:3" x14ac:dyDescent="0.25">
      <c r="A58" s="51"/>
      <c r="B58" s="51"/>
      <c r="C58" s="26"/>
    </row>
    <row r="59" spans="1:3" x14ac:dyDescent="0.25">
      <c r="A59" s="51"/>
      <c r="B59" s="51"/>
      <c r="C59" s="26" t="s">
        <v>375</v>
      </c>
    </row>
    <row r="60" spans="1:3" x14ac:dyDescent="0.25">
      <c r="A60" s="51"/>
      <c r="B60" s="51"/>
      <c r="C60" s="26" t="s">
        <v>376</v>
      </c>
    </row>
    <row r="61" spans="1:3" x14ac:dyDescent="0.25">
      <c r="A61" s="51"/>
      <c r="B61" s="51"/>
      <c r="C61" s="26" t="s">
        <v>377</v>
      </c>
    </row>
    <row r="62" spans="1:3" x14ac:dyDescent="0.25">
      <c r="A62" s="51"/>
      <c r="B62" s="51"/>
      <c r="C62" s="26" t="s">
        <v>378</v>
      </c>
    </row>
    <row r="63" spans="1:3" x14ac:dyDescent="0.25">
      <c r="A63" s="51"/>
      <c r="B63" s="51"/>
      <c r="C63" s="26"/>
    </row>
    <row r="64" spans="1:3" x14ac:dyDescent="0.25">
      <c r="A64" s="51"/>
      <c r="B64" s="51"/>
      <c r="C64" s="26" t="s">
        <v>379</v>
      </c>
    </row>
    <row r="65" spans="1:3" x14ac:dyDescent="0.25">
      <c r="A65" s="51"/>
      <c r="B65" s="51"/>
      <c r="C65" s="26"/>
    </row>
    <row r="66" spans="1:3" x14ac:dyDescent="0.25">
      <c r="A66" s="51"/>
      <c r="B66" s="51"/>
      <c r="C66" s="26" t="s">
        <v>380</v>
      </c>
    </row>
    <row r="67" spans="1:3" x14ac:dyDescent="0.25">
      <c r="A67" s="51"/>
      <c r="B67" s="51"/>
      <c r="C67" s="26" t="s">
        <v>381</v>
      </c>
    </row>
    <row r="68" spans="1:3" x14ac:dyDescent="0.25">
      <c r="A68" s="52"/>
      <c r="B68" s="52"/>
      <c r="C68" s="26" t="s">
        <v>382</v>
      </c>
    </row>
    <row r="69" spans="1:3" x14ac:dyDescent="0.25">
      <c r="A69" s="50" t="s">
        <v>319</v>
      </c>
      <c r="B69" s="50" t="s">
        <v>327</v>
      </c>
      <c r="C69" s="26" t="s">
        <v>330</v>
      </c>
    </row>
    <row r="70" spans="1:3" x14ac:dyDescent="0.25">
      <c r="A70" s="51"/>
      <c r="B70" s="51"/>
      <c r="C70" s="26" t="s">
        <v>383</v>
      </c>
    </row>
    <row r="71" spans="1:3" x14ac:dyDescent="0.25">
      <c r="A71" s="51"/>
      <c r="B71" s="51"/>
      <c r="C71" s="26" t="s">
        <v>384</v>
      </c>
    </row>
    <row r="72" spans="1:3" x14ac:dyDescent="0.25">
      <c r="A72" s="51"/>
      <c r="B72" s="51"/>
      <c r="C72" s="26" t="s">
        <v>385</v>
      </c>
    </row>
    <row r="73" spans="1:3" x14ac:dyDescent="0.25">
      <c r="A73" s="51"/>
      <c r="B73" s="51"/>
      <c r="C73" s="26" t="s">
        <v>334</v>
      </c>
    </row>
    <row r="74" spans="1:3" x14ac:dyDescent="0.25">
      <c r="A74" s="51"/>
      <c r="B74" s="51"/>
      <c r="C74" s="26" t="s">
        <v>386</v>
      </c>
    </row>
    <row r="75" spans="1:3" x14ac:dyDescent="0.25">
      <c r="A75" s="51"/>
      <c r="B75" s="51"/>
      <c r="C75" s="26" t="s">
        <v>387</v>
      </c>
    </row>
    <row r="76" spans="1:3" x14ac:dyDescent="0.25">
      <c r="A76" s="51"/>
      <c r="B76" s="51"/>
      <c r="C76" s="26" t="s">
        <v>388</v>
      </c>
    </row>
    <row r="77" spans="1:3" x14ac:dyDescent="0.25">
      <c r="A77" s="51"/>
      <c r="B77" s="51"/>
      <c r="C77" s="26" t="s">
        <v>389</v>
      </c>
    </row>
    <row r="78" spans="1:3" x14ac:dyDescent="0.25">
      <c r="A78" s="51"/>
      <c r="B78" s="51"/>
      <c r="C78" s="26" t="s">
        <v>390</v>
      </c>
    </row>
    <row r="79" spans="1:3" x14ac:dyDescent="0.25">
      <c r="A79" s="51"/>
      <c r="B79" s="51"/>
      <c r="C79" s="26" t="s">
        <v>391</v>
      </c>
    </row>
    <row r="80" spans="1:3" x14ac:dyDescent="0.25">
      <c r="A80" s="51"/>
      <c r="B80" s="51"/>
      <c r="C80" s="26" t="s">
        <v>335</v>
      </c>
    </row>
    <row r="81" spans="1:3" x14ac:dyDescent="0.25">
      <c r="A81" s="51"/>
      <c r="B81" s="51"/>
      <c r="C81" s="26" t="s">
        <v>348</v>
      </c>
    </row>
    <row r="82" spans="1:3" x14ac:dyDescent="0.25">
      <c r="A82" s="51"/>
      <c r="B82" s="51"/>
      <c r="C82" s="26" t="s">
        <v>349</v>
      </c>
    </row>
    <row r="83" spans="1:3" x14ac:dyDescent="0.25">
      <c r="A83" s="51"/>
      <c r="B83" s="51"/>
      <c r="C83" s="26" t="s">
        <v>338</v>
      </c>
    </row>
    <row r="84" spans="1:3" x14ac:dyDescent="0.25">
      <c r="A84" s="51"/>
      <c r="B84" s="51"/>
      <c r="C84" s="26" t="s">
        <v>392</v>
      </c>
    </row>
    <row r="85" spans="1:3" x14ac:dyDescent="0.25">
      <c r="A85" s="51"/>
      <c r="B85" s="51"/>
      <c r="C85" s="26" t="s">
        <v>340</v>
      </c>
    </row>
    <row r="86" spans="1:3" x14ac:dyDescent="0.25">
      <c r="A86" s="51"/>
      <c r="B86" s="51"/>
      <c r="C86" s="26" t="s">
        <v>341</v>
      </c>
    </row>
    <row r="87" spans="1:3" x14ac:dyDescent="0.25">
      <c r="A87" s="51"/>
      <c r="B87" s="51"/>
      <c r="C87" s="26" t="s">
        <v>393</v>
      </c>
    </row>
    <row r="88" spans="1:3" x14ac:dyDescent="0.25">
      <c r="A88" s="51"/>
      <c r="B88" s="51"/>
      <c r="C88" s="26" t="s">
        <v>394</v>
      </c>
    </row>
    <row r="89" spans="1:3" x14ac:dyDescent="0.25">
      <c r="A89" s="51"/>
      <c r="B89" s="51"/>
      <c r="C89" s="26" t="s">
        <v>395</v>
      </c>
    </row>
    <row r="90" spans="1:3" x14ac:dyDescent="0.25">
      <c r="A90" s="51"/>
      <c r="B90" s="51"/>
      <c r="C90" s="26" t="s">
        <v>396</v>
      </c>
    </row>
    <row r="91" spans="1:3" x14ac:dyDescent="0.25">
      <c r="A91" s="51"/>
      <c r="B91" s="51"/>
      <c r="C91" s="26" t="s">
        <v>397</v>
      </c>
    </row>
    <row r="92" spans="1:3" x14ac:dyDescent="0.25">
      <c r="A92" s="51"/>
      <c r="B92" s="51"/>
      <c r="C92" s="26"/>
    </row>
    <row r="93" spans="1:3" x14ac:dyDescent="0.25">
      <c r="A93" s="51"/>
      <c r="B93" s="51"/>
      <c r="C93" s="26" t="s">
        <v>398</v>
      </c>
    </row>
    <row r="94" spans="1:3" x14ac:dyDescent="0.25">
      <c r="A94" s="51"/>
      <c r="B94" s="51"/>
      <c r="C94" s="26" t="s">
        <v>399</v>
      </c>
    </row>
    <row r="95" spans="1:3" x14ac:dyDescent="0.25">
      <c r="A95" s="51"/>
      <c r="B95" s="51"/>
      <c r="C95" s="26" t="s">
        <v>400</v>
      </c>
    </row>
    <row r="96" spans="1:3" x14ac:dyDescent="0.25">
      <c r="A96" s="51"/>
      <c r="B96" s="51"/>
      <c r="C96" s="26" t="s">
        <v>401</v>
      </c>
    </row>
    <row r="97" spans="1:3" x14ac:dyDescent="0.25">
      <c r="A97" s="51"/>
      <c r="B97" s="51"/>
      <c r="C97" s="26" t="s">
        <v>402</v>
      </c>
    </row>
    <row r="98" spans="1:3" x14ac:dyDescent="0.25">
      <c r="A98" s="51"/>
      <c r="B98" s="51"/>
      <c r="C98" s="26" t="s">
        <v>403</v>
      </c>
    </row>
    <row r="99" spans="1:3" x14ac:dyDescent="0.25">
      <c r="A99" s="51"/>
      <c r="B99" s="51"/>
      <c r="C99" s="26" t="s">
        <v>404</v>
      </c>
    </row>
    <row r="100" spans="1:3" x14ac:dyDescent="0.25">
      <c r="A100" s="51"/>
      <c r="B100" s="51"/>
      <c r="C100" s="26" t="s">
        <v>405</v>
      </c>
    </row>
    <row r="101" spans="1:3" x14ac:dyDescent="0.25">
      <c r="A101" s="51"/>
      <c r="B101" s="51"/>
      <c r="C101" s="26" t="s">
        <v>406</v>
      </c>
    </row>
    <row r="102" spans="1:3" x14ac:dyDescent="0.25">
      <c r="A102" s="51"/>
      <c r="B102" s="51"/>
      <c r="C102" s="26" t="s">
        <v>407</v>
      </c>
    </row>
    <row r="103" spans="1:3" x14ac:dyDescent="0.25">
      <c r="A103" s="51"/>
      <c r="B103" s="51"/>
      <c r="C103" s="26" t="s">
        <v>408</v>
      </c>
    </row>
    <row r="104" spans="1:3" x14ac:dyDescent="0.25">
      <c r="A104" s="51"/>
      <c r="B104" s="51"/>
      <c r="C104" s="26" t="s">
        <v>407</v>
      </c>
    </row>
    <row r="105" spans="1:3" x14ac:dyDescent="0.25">
      <c r="A105" s="51"/>
      <c r="B105" s="51"/>
      <c r="C105" s="26" t="s">
        <v>409</v>
      </c>
    </row>
    <row r="106" spans="1:3" x14ac:dyDescent="0.25">
      <c r="A106" s="51"/>
      <c r="B106" s="51"/>
      <c r="C106" s="26"/>
    </row>
    <row r="107" spans="1:3" x14ac:dyDescent="0.25">
      <c r="A107" s="51"/>
      <c r="B107" s="51"/>
      <c r="C107" s="26" t="s">
        <v>410</v>
      </c>
    </row>
    <row r="108" spans="1:3" x14ac:dyDescent="0.25">
      <c r="A108" s="51"/>
      <c r="B108" s="51"/>
      <c r="C108" s="26" t="s">
        <v>411</v>
      </c>
    </row>
    <row r="109" spans="1:3" x14ac:dyDescent="0.25">
      <c r="A109" s="51"/>
      <c r="B109" s="51"/>
      <c r="C109" s="26" t="s">
        <v>412</v>
      </c>
    </row>
    <row r="110" spans="1:3" x14ac:dyDescent="0.25">
      <c r="A110" s="51"/>
      <c r="B110" s="51"/>
      <c r="C110" s="26" t="s">
        <v>400</v>
      </c>
    </row>
    <row r="111" spans="1:3" x14ac:dyDescent="0.25">
      <c r="A111" s="51"/>
      <c r="B111" s="51"/>
      <c r="C111" s="26" t="s">
        <v>413</v>
      </c>
    </row>
    <row r="112" spans="1:3" x14ac:dyDescent="0.25">
      <c r="A112" s="51"/>
      <c r="B112" s="51"/>
      <c r="C112" s="26" t="s">
        <v>414</v>
      </c>
    </row>
    <row r="113" spans="1:3" x14ac:dyDescent="0.25">
      <c r="A113" s="51"/>
      <c r="B113" s="51"/>
      <c r="C113" s="26" t="s">
        <v>415</v>
      </c>
    </row>
    <row r="114" spans="1:3" x14ac:dyDescent="0.25">
      <c r="A114" s="51"/>
      <c r="B114" s="51"/>
      <c r="C114" s="26" t="s">
        <v>416</v>
      </c>
    </row>
    <row r="115" spans="1:3" x14ac:dyDescent="0.25">
      <c r="A115" s="51"/>
      <c r="B115" s="51"/>
      <c r="C115" s="26" t="s">
        <v>417</v>
      </c>
    </row>
    <row r="116" spans="1:3" x14ac:dyDescent="0.25">
      <c r="A116" s="51"/>
      <c r="B116" s="51"/>
      <c r="C116" s="26" t="s">
        <v>418</v>
      </c>
    </row>
    <row r="117" spans="1:3" x14ac:dyDescent="0.25">
      <c r="A117" s="51"/>
      <c r="B117" s="51"/>
      <c r="C117" s="26" t="s">
        <v>419</v>
      </c>
    </row>
    <row r="118" spans="1:3" x14ac:dyDescent="0.25">
      <c r="A118" s="51"/>
      <c r="B118" s="51"/>
      <c r="C118" s="26" t="s">
        <v>420</v>
      </c>
    </row>
    <row r="119" spans="1:3" x14ac:dyDescent="0.25">
      <c r="A119" s="51"/>
      <c r="B119" s="51"/>
      <c r="C119" s="26" t="s">
        <v>421</v>
      </c>
    </row>
    <row r="120" spans="1:3" x14ac:dyDescent="0.25">
      <c r="A120" s="51"/>
      <c r="B120" s="51"/>
      <c r="C120" s="26" t="s">
        <v>422</v>
      </c>
    </row>
    <row r="121" spans="1:3" x14ac:dyDescent="0.25">
      <c r="A121" s="51"/>
      <c r="B121" s="51"/>
      <c r="C121" s="26" t="s">
        <v>373</v>
      </c>
    </row>
    <row r="122" spans="1:3" x14ac:dyDescent="0.25">
      <c r="A122" s="51"/>
      <c r="B122" s="51"/>
      <c r="C122" s="26" t="s">
        <v>423</v>
      </c>
    </row>
    <row r="123" spans="1:3" x14ac:dyDescent="0.25">
      <c r="A123" s="51"/>
      <c r="B123" s="51"/>
      <c r="C123" s="26" t="s">
        <v>424</v>
      </c>
    </row>
    <row r="124" spans="1:3" x14ac:dyDescent="0.25">
      <c r="A124" s="51"/>
      <c r="B124" s="51"/>
      <c r="C124" s="26" t="s">
        <v>425</v>
      </c>
    </row>
    <row r="125" spans="1:3" x14ac:dyDescent="0.25">
      <c r="A125" s="52"/>
      <c r="B125" s="52"/>
      <c r="C125" s="26" t="s">
        <v>426</v>
      </c>
    </row>
    <row r="126" spans="1:3" x14ac:dyDescent="0.25">
      <c r="A126" s="50" t="s">
        <v>320</v>
      </c>
      <c r="B126" s="50" t="s">
        <v>328</v>
      </c>
      <c r="C126" s="26" t="s">
        <v>330</v>
      </c>
    </row>
    <row r="127" spans="1:3" x14ac:dyDescent="0.25">
      <c r="A127" s="51"/>
      <c r="B127" s="51"/>
      <c r="C127" s="26" t="s">
        <v>427</v>
      </c>
    </row>
    <row r="128" spans="1:3" x14ac:dyDescent="0.25">
      <c r="A128" s="51"/>
      <c r="B128" s="51"/>
      <c r="C128" s="26" t="s">
        <v>334</v>
      </c>
    </row>
    <row r="129" spans="1:3" x14ac:dyDescent="0.25">
      <c r="A129" s="51"/>
      <c r="B129" s="51"/>
      <c r="C129" s="26" t="s">
        <v>386</v>
      </c>
    </row>
    <row r="130" spans="1:3" x14ac:dyDescent="0.25">
      <c r="A130" s="51"/>
      <c r="B130" s="51"/>
      <c r="C130" s="26" t="s">
        <v>428</v>
      </c>
    </row>
    <row r="131" spans="1:3" x14ac:dyDescent="0.25">
      <c r="A131" s="51"/>
      <c r="B131" s="51"/>
      <c r="C131" s="26" t="s">
        <v>429</v>
      </c>
    </row>
    <row r="132" spans="1:3" x14ac:dyDescent="0.25">
      <c r="A132" s="51"/>
      <c r="B132" s="51"/>
      <c r="C132" s="26" t="s">
        <v>391</v>
      </c>
    </row>
    <row r="133" spans="1:3" x14ac:dyDescent="0.25">
      <c r="A133" s="51"/>
      <c r="B133" s="51"/>
      <c r="C133" s="26" t="s">
        <v>335</v>
      </c>
    </row>
    <row r="134" spans="1:3" x14ac:dyDescent="0.25">
      <c r="A134" s="51"/>
      <c r="B134" s="51"/>
      <c r="C134" s="26" t="s">
        <v>348</v>
      </c>
    </row>
    <row r="135" spans="1:3" x14ac:dyDescent="0.25">
      <c r="A135" s="51"/>
      <c r="B135" s="51"/>
      <c r="C135" s="26" t="s">
        <v>349</v>
      </c>
    </row>
    <row r="136" spans="1:3" x14ac:dyDescent="0.25">
      <c r="A136" s="51"/>
      <c r="B136" s="51"/>
      <c r="C136" s="26" t="s">
        <v>338</v>
      </c>
    </row>
    <row r="137" spans="1:3" x14ac:dyDescent="0.25">
      <c r="A137" s="51"/>
      <c r="B137" s="51"/>
      <c r="C137" s="26" t="s">
        <v>430</v>
      </c>
    </row>
    <row r="138" spans="1:3" x14ac:dyDescent="0.25">
      <c r="A138" s="51"/>
      <c r="B138" s="51"/>
      <c r="C138" s="26" t="s">
        <v>340</v>
      </c>
    </row>
    <row r="139" spans="1:3" x14ac:dyDescent="0.25">
      <c r="A139" s="51"/>
      <c r="B139" s="51"/>
      <c r="C139" s="26" t="s">
        <v>431</v>
      </c>
    </row>
    <row r="140" spans="1:3" x14ac:dyDescent="0.25">
      <c r="A140" s="51"/>
      <c r="B140" s="51"/>
      <c r="C140" s="26"/>
    </row>
    <row r="141" spans="1:3" x14ac:dyDescent="0.25">
      <c r="A141" s="51"/>
      <c r="B141" s="51"/>
      <c r="C141" s="26" t="s">
        <v>432</v>
      </c>
    </row>
    <row r="142" spans="1:3" x14ac:dyDescent="0.25">
      <c r="A142" s="51"/>
      <c r="B142" s="51"/>
      <c r="C142" s="26" t="s">
        <v>433</v>
      </c>
    </row>
    <row r="143" spans="1:3" x14ac:dyDescent="0.25">
      <c r="A143" s="51"/>
      <c r="B143" s="51"/>
      <c r="C143" s="26" t="s">
        <v>434</v>
      </c>
    </row>
    <row r="144" spans="1:3" x14ac:dyDescent="0.25">
      <c r="A144" s="51"/>
      <c r="B144" s="51"/>
      <c r="C144" s="26" t="s">
        <v>435</v>
      </c>
    </row>
    <row r="145" spans="1:3" x14ac:dyDescent="0.25">
      <c r="A145" s="51"/>
      <c r="B145" s="51"/>
      <c r="C145" s="26"/>
    </row>
    <row r="146" spans="1:3" x14ac:dyDescent="0.25">
      <c r="A146" s="51"/>
      <c r="B146" s="51"/>
      <c r="C146" s="26" t="s">
        <v>436</v>
      </c>
    </row>
    <row r="147" spans="1:3" x14ac:dyDescent="0.25">
      <c r="A147" s="51"/>
      <c r="B147" s="51"/>
      <c r="C147" s="26" t="s">
        <v>437</v>
      </c>
    </row>
    <row r="148" spans="1:3" x14ac:dyDescent="0.25">
      <c r="A148" s="51"/>
      <c r="B148" s="51"/>
      <c r="C148" s="26" t="s">
        <v>438</v>
      </c>
    </row>
    <row r="149" spans="1:3" x14ac:dyDescent="0.25">
      <c r="A149" s="51"/>
      <c r="B149" s="51"/>
      <c r="C149" s="26" t="s">
        <v>439</v>
      </c>
    </row>
    <row r="150" spans="1:3" x14ac:dyDescent="0.25">
      <c r="A150" s="51"/>
      <c r="B150" s="51"/>
      <c r="C150" s="26" t="s">
        <v>440</v>
      </c>
    </row>
    <row r="151" spans="1:3" x14ac:dyDescent="0.25">
      <c r="A151" s="51"/>
      <c r="B151" s="51"/>
      <c r="C151" s="26" t="s">
        <v>441</v>
      </c>
    </row>
    <row r="152" spans="1:3" x14ac:dyDescent="0.25">
      <c r="A152" s="51"/>
      <c r="B152" s="51"/>
      <c r="C152" s="26" t="s">
        <v>442</v>
      </c>
    </row>
    <row r="153" spans="1:3" x14ac:dyDescent="0.25">
      <c r="A153" s="51"/>
      <c r="B153" s="51"/>
      <c r="C153" s="26" t="s">
        <v>443</v>
      </c>
    </row>
    <row r="154" spans="1:3" x14ac:dyDescent="0.25">
      <c r="A154" s="51"/>
      <c r="B154" s="51"/>
      <c r="C154" s="26" t="s">
        <v>444</v>
      </c>
    </row>
    <row r="155" spans="1:3" x14ac:dyDescent="0.25">
      <c r="A155" s="51"/>
      <c r="B155" s="51"/>
      <c r="C155" s="26" t="s">
        <v>443</v>
      </c>
    </row>
    <row r="156" spans="1:3" x14ac:dyDescent="0.25">
      <c r="A156" s="51"/>
      <c r="B156" s="51"/>
      <c r="C156" s="26" t="s">
        <v>445</v>
      </c>
    </row>
    <row r="157" spans="1:3" x14ac:dyDescent="0.25">
      <c r="A157" s="51"/>
      <c r="B157" s="51"/>
      <c r="C157" s="26" t="s">
        <v>446</v>
      </c>
    </row>
    <row r="158" spans="1:3" x14ac:dyDescent="0.25">
      <c r="A158" s="51"/>
      <c r="B158" s="51"/>
      <c r="C158" s="26" t="s">
        <v>447</v>
      </c>
    </row>
    <row r="159" spans="1:3" x14ac:dyDescent="0.25">
      <c r="A159" s="51"/>
      <c r="B159" s="51"/>
      <c r="C159" s="26" t="s">
        <v>448</v>
      </c>
    </row>
    <row r="160" spans="1:3" x14ac:dyDescent="0.25">
      <c r="A160" s="51"/>
      <c r="B160" s="51"/>
      <c r="C160" s="26" t="s">
        <v>449</v>
      </c>
    </row>
    <row r="161" spans="1:3" x14ac:dyDescent="0.25">
      <c r="A161" s="51"/>
      <c r="B161" s="51"/>
      <c r="C161" s="26" t="s">
        <v>438</v>
      </c>
    </row>
    <row r="162" spans="1:3" x14ac:dyDescent="0.25">
      <c r="A162" s="51"/>
      <c r="B162" s="51"/>
      <c r="C162" s="26" t="s">
        <v>450</v>
      </c>
    </row>
    <row r="163" spans="1:3" x14ac:dyDescent="0.25">
      <c r="A163" s="51"/>
      <c r="B163" s="51"/>
      <c r="C163" s="26" t="s">
        <v>440</v>
      </c>
    </row>
    <row r="164" spans="1:3" x14ac:dyDescent="0.25">
      <c r="A164" s="51"/>
      <c r="B164" s="51"/>
      <c r="C164" s="26" t="s">
        <v>441</v>
      </c>
    </row>
    <row r="165" spans="1:3" x14ac:dyDescent="0.25">
      <c r="A165" s="51"/>
      <c r="B165" s="51"/>
      <c r="C165" s="26" t="s">
        <v>442</v>
      </c>
    </row>
    <row r="166" spans="1:3" x14ac:dyDescent="0.25">
      <c r="A166" s="51"/>
      <c r="B166" s="51"/>
      <c r="C166" s="26" t="s">
        <v>443</v>
      </c>
    </row>
    <row r="167" spans="1:3" x14ac:dyDescent="0.25">
      <c r="A167" s="51"/>
      <c r="B167" s="51"/>
      <c r="C167" s="26" t="s">
        <v>444</v>
      </c>
    </row>
    <row r="168" spans="1:3" x14ac:dyDescent="0.25">
      <c r="A168" s="51"/>
      <c r="B168" s="51"/>
      <c r="C168" s="26" t="s">
        <v>451</v>
      </c>
    </row>
    <row r="169" spans="1:3" x14ac:dyDescent="0.25">
      <c r="A169" s="51"/>
      <c r="B169" s="51"/>
      <c r="C169" s="26" t="s">
        <v>452</v>
      </c>
    </row>
    <row r="170" spans="1:3" x14ac:dyDescent="0.25">
      <c r="A170" s="51"/>
      <c r="B170" s="51"/>
      <c r="C170" s="26" t="s">
        <v>453</v>
      </c>
    </row>
    <row r="171" spans="1:3" x14ac:dyDescent="0.25">
      <c r="A171" s="51"/>
      <c r="B171" s="51"/>
      <c r="C171" s="26"/>
    </row>
    <row r="172" spans="1:3" x14ac:dyDescent="0.25">
      <c r="A172" s="51"/>
      <c r="B172" s="51"/>
      <c r="C172" s="26" t="s">
        <v>454</v>
      </c>
    </row>
    <row r="173" spans="1:3" x14ac:dyDescent="0.25">
      <c r="A173" s="51"/>
      <c r="B173" s="51"/>
      <c r="C173" s="26" t="s">
        <v>455</v>
      </c>
    </row>
    <row r="174" spans="1:3" x14ac:dyDescent="0.25">
      <c r="A174" s="51"/>
      <c r="B174" s="51"/>
      <c r="C174" s="26" t="s">
        <v>456</v>
      </c>
    </row>
    <row r="175" spans="1:3" x14ac:dyDescent="0.25">
      <c r="A175" s="51"/>
      <c r="B175" s="51"/>
      <c r="C175" s="26" t="s">
        <v>454</v>
      </c>
    </row>
    <row r="176" spans="1:3" x14ac:dyDescent="0.25">
      <c r="A176" s="51"/>
      <c r="B176" s="51"/>
      <c r="C176" s="26"/>
    </row>
    <row r="177" spans="1:3" x14ac:dyDescent="0.25">
      <c r="A177" s="51"/>
      <c r="B177" s="51"/>
      <c r="C177" s="26" t="s">
        <v>457</v>
      </c>
    </row>
    <row r="178" spans="1:3" x14ac:dyDescent="0.25">
      <c r="A178" s="51"/>
      <c r="B178" s="51"/>
      <c r="C178" s="26" t="s">
        <v>458</v>
      </c>
    </row>
    <row r="179" spans="1:3" x14ac:dyDescent="0.25">
      <c r="A179" s="51"/>
      <c r="B179" s="51"/>
      <c r="C179" s="26" t="s">
        <v>459</v>
      </c>
    </row>
    <row r="180" spans="1:3" x14ac:dyDescent="0.25">
      <c r="A180" s="51"/>
      <c r="B180" s="51"/>
      <c r="C180" s="26" t="s">
        <v>460</v>
      </c>
    </row>
    <row r="181" spans="1:3" x14ac:dyDescent="0.25">
      <c r="A181" s="51"/>
      <c r="B181" s="51"/>
      <c r="C181" s="26" t="s">
        <v>461</v>
      </c>
    </row>
    <row r="182" spans="1:3" x14ac:dyDescent="0.25">
      <c r="A182" s="51"/>
      <c r="B182" s="51"/>
      <c r="C182" s="26" t="s">
        <v>462</v>
      </c>
    </row>
    <row r="183" spans="1:3" x14ac:dyDescent="0.25">
      <c r="A183" s="51"/>
      <c r="B183" s="51"/>
      <c r="C183" s="26" t="s">
        <v>373</v>
      </c>
    </row>
    <row r="184" spans="1:3" x14ac:dyDescent="0.25">
      <c r="A184" s="51"/>
      <c r="B184" s="51"/>
      <c r="C184" s="26" t="s">
        <v>463</v>
      </c>
    </row>
    <row r="185" spans="1:3" x14ac:dyDescent="0.25">
      <c r="A185" s="52"/>
      <c r="B185" s="52"/>
      <c r="C185" s="26" t="s">
        <v>464</v>
      </c>
    </row>
    <row r="186" spans="1:3" x14ac:dyDescent="0.25">
      <c r="A186" s="50" t="s">
        <v>321</v>
      </c>
      <c r="B186" s="50" t="s">
        <v>329</v>
      </c>
      <c r="C186" s="26" t="s">
        <v>330</v>
      </c>
    </row>
    <row r="187" spans="1:3" x14ac:dyDescent="0.25">
      <c r="A187" s="51"/>
      <c r="B187" s="51"/>
      <c r="C187" s="26" t="s">
        <v>465</v>
      </c>
    </row>
    <row r="188" spans="1:3" x14ac:dyDescent="0.25">
      <c r="A188" s="51"/>
      <c r="B188" s="51"/>
      <c r="C188" s="26" t="s">
        <v>466</v>
      </c>
    </row>
    <row r="189" spans="1:3" x14ac:dyDescent="0.25">
      <c r="A189" s="51"/>
      <c r="B189" s="51"/>
      <c r="C189" s="26" t="s">
        <v>467</v>
      </c>
    </row>
    <row r="190" spans="1:3" x14ac:dyDescent="0.25">
      <c r="A190" s="51"/>
      <c r="B190" s="51"/>
      <c r="C190" s="26" t="s">
        <v>468</v>
      </c>
    </row>
    <row r="191" spans="1:3" x14ac:dyDescent="0.25">
      <c r="A191" s="51"/>
      <c r="B191" s="51"/>
      <c r="C191" s="26" t="s">
        <v>469</v>
      </c>
    </row>
    <row r="192" spans="1:3" x14ac:dyDescent="0.25">
      <c r="A192" s="51"/>
      <c r="B192" s="51"/>
      <c r="C192" s="26" t="s">
        <v>334</v>
      </c>
    </row>
    <row r="193" spans="1:3" x14ac:dyDescent="0.25">
      <c r="A193" s="51"/>
      <c r="B193" s="51"/>
      <c r="C193" s="26" t="s">
        <v>335</v>
      </c>
    </row>
    <row r="194" spans="1:3" x14ac:dyDescent="0.25">
      <c r="A194" s="51"/>
      <c r="B194" s="51"/>
      <c r="C194" s="26" t="s">
        <v>470</v>
      </c>
    </row>
    <row r="195" spans="1:3" x14ac:dyDescent="0.25">
      <c r="A195" s="51"/>
      <c r="B195" s="51"/>
      <c r="C195" s="26" t="s">
        <v>471</v>
      </c>
    </row>
    <row r="196" spans="1:3" x14ac:dyDescent="0.25">
      <c r="A196" s="51"/>
      <c r="B196" s="51"/>
      <c r="C196" s="26" t="s">
        <v>472</v>
      </c>
    </row>
    <row r="197" spans="1:3" x14ac:dyDescent="0.25">
      <c r="A197" s="51"/>
      <c r="B197" s="51"/>
      <c r="C197" s="26" t="s">
        <v>361</v>
      </c>
    </row>
    <row r="198" spans="1:3" x14ac:dyDescent="0.25">
      <c r="A198" s="51"/>
      <c r="B198" s="51"/>
      <c r="C198" s="26" t="s">
        <v>473</v>
      </c>
    </row>
    <row r="199" spans="1:3" x14ac:dyDescent="0.25">
      <c r="A199" s="51"/>
      <c r="B199" s="51"/>
      <c r="C199" s="26" t="s">
        <v>474</v>
      </c>
    </row>
    <row r="200" spans="1:3" x14ac:dyDescent="0.25">
      <c r="A200" s="51"/>
      <c r="B200" s="51"/>
      <c r="C200" s="26" t="s">
        <v>338</v>
      </c>
    </row>
    <row r="201" spans="1:3" x14ac:dyDescent="0.25">
      <c r="A201" s="51"/>
      <c r="B201" s="51"/>
      <c r="C201" s="26" t="s">
        <v>475</v>
      </c>
    </row>
    <row r="202" spans="1:3" x14ac:dyDescent="0.25">
      <c r="A202" s="51"/>
      <c r="B202" s="51"/>
      <c r="C202" s="26" t="s">
        <v>340</v>
      </c>
    </row>
    <row r="203" spans="1:3" x14ac:dyDescent="0.25">
      <c r="A203" s="51"/>
      <c r="B203" s="51"/>
      <c r="C203" s="26" t="s">
        <v>476</v>
      </c>
    </row>
    <row r="204" spans="1:3" x14ac:dyDescent="0.25">
      <c r="A204" s="51"/>
      <c r="B204" s="51"/>
      <c r="C204" s="26" t="s">
        <v>477</v>
      </c>
    </row>
    <row r="205" spans="1:3" x14ac:dyDescent="0.25">
      <c r="A205" s="51"/>
      <c r="B205" s="51"/>
      <c r="C205" s="26" t="s">
        <v>478</v>
      </c>
    </row>
    <row r="206" spans="1:3" x14ac:dyDescent="0.25">
      <c r="A206" s="51"/>
      <c r="B206" s="51"/>
      <c r="C206" s="26" t="s">
        <v>479</v>
      </c>
    </row>
    <row r="207" spans="1:3" x14ac:dyDescent="0.25">
      <c r="A207" s="51"/>
      <c r="B207" s="51"/>
      <c r="C207" s="26" t="s">
        <v>480</v>
      </c>
    </row>
    <row r="208" spans="1:3" x14ac:dyDescent="0.25">
      <c r="A208" s="51"/>
      <c r="B208" s="51"/>
      <c r="C208" s="26"/>
    </row>
    <row r="209" spans="1:3" x14ac:dyDescent="0.25">
      <c r="A209" s="51"/>
      <c r="B209" s="51"/>
      <c r="C209" s="26"/>
    </row>
    <row r="210" spans="1:3" x14ac:dyDescent="0.25">
      <c r="A210" s="51"/>
      <c r="B210" s="51"/>
      <c r="C210" s="26" t="s">
        <v>330</v>
      </c>
    </row>
    <row r="211" spans="1:3" x14ac:dyDescent="0.25">
      <c r="A211" s="51"/>
      <c r="B211" s="51"/>
      <c r="C211" s="26" t="s">
        <v>481</v>
      </c>
    </row>
    <row r="212" spans="1:3" x14ac:dyDescent="0.25">
      <c r="A212" s="51"/>
      <c r="B212" s="51"/>
      <c r="C212" s="26" t="s">
        <v>482</v>
      </c>
    </row>
    <row r="213" spans="1:3" x14ac:dyDescent="0.25">
      <c r="A213" s="51"/>
      <c r="B213" s="51"/>
      <c r="C213" s="26" t="s">
        <v>483</v>
      </c>
    </row>
    <row r="214" spans="1:3" x14ac:dyDescent="0.25">
      <c r="A214" s="51"/>
      <c r="B214" s="51"/>
      <c r="C214" s="26" t="s">
        <v>484</v>
      </c>
    </row>
    <row r="215" spans="1:3" x14ac:dyDescent="0.25">
      <c r="A215" s="51"/>
      <c r="B215" s="51"/>
      <c r="C215" s="26" t="s">
        <v>334</v>
      </c>
    </row>
    <row r="216" spans="1:3" x14ac:dyDescent="0.25">
      <c r="A216" s="51"/>
      <c r="B216" s="51"/>
      <c r="C216" s="26" t="s">
        <v>355</v>
      </c>
    </row>
    <row r="217" spans="1:3" x14ac:dyDescent="0.25">
      <c r="A217" s="51"/>
      <c r="B217" s="51"/>
      <c r="C217" s="26" t="s">
        <v>485</v>
      </c>
    </row>
    <row r="218" spans="1:3" x14ac:dyDescent="0.25">
      <c r="A218" s="51"/>
      <c r="B218" s="51"/>
      <c r="C218" s="26" t="s">
        <v>358</v>
      </c>
    </row>
    <row r="219" spans="1:3" x14ac:dyDescent="0.25">
      <c r="A219" s="51"/>
      <c r="B219" s="51"/>
      <c r="C219" s="26" t="s">
        <v>486</v>
      </c>
    </row>
    <row r="220" spans="1:3" x14ac:dyDescent="0.25">
      <c r="A220" s="51"/>
      <c r="B220" s="51"/>
      <c r="C220" s="26" t="s">
        <v>487</v>
      </c>
    </row>
    <row r="221" spans="1:3" x14ac:dyDescent="0.25">
      <c r="A221" s="51"/>
      <c r="B221" s="51"/>
      <c r="C221" s="26" t="s">
        <v>488</v>
      </c>
    </row>
    <row r="222" spans="1:3" x14ac:dyDescent="0.25">
      <c r="A222" s="51"/>
      <c r="B222" s="51"/>
      <c r="C222" s="26" t="s">
        <v>489</v>
      </c>
    </row>
    <row r="223" spans="1:3" x14ac:dyDescent="0.25">
      <c r="A223" s="51"/>
      <c r="B223" s="51"/>
      <c r="C223" s="26" t="s">
        <v>490</v>
      </c>
    </row>
    <row r="224" spans="1:3" x14ac:dyDescent="0.25">
      <c r="A224" s="51"/>
      <c r="B224" s="51"/>
      <c r="C224" s="26" t="s">
        <v>358</v>
      </c>
    </row>
    <row r="225" spans="1:3" x14ac:dyDescent="0.25">
      <c r="A225" s="51"/>
      <c r="B225" s="51"/>
      <c r="C225" s="26" t="s">
        <v>335</v>
      </c>
    </row>
    <row r="226" spans="1:3" x14ac:dyDescent="0.25">
      <c r="A226" s="51"/>
      <c r="B226" s="51"/>
      <c r="C226" s="26" t="s">
        <v>491</v>
      </c>
    </row>
    <row r="227" spans="1:3" x14ac:dyDescent="0.25">
      <c r="A227" s="51"/>
      <c r="B227" s="51"/>
      <c r="C227" s="26" t="s">
        <v>492</v>
      </c>
    </row>
    <row r="228" spans="1:3" x14ac:dyDescent="0.25">
      <c r="A228" s="51"/>
      <c r="B228" s="51"/>
      <c r="C228" s="26" t="s">
        <v>361</v>
      </c>
    </row>
    <row r="229" spans="1:3" x14ac:dyDescent="0.25">
      <c r="A229" s="51"/>
      <c r="B229" s="51"/>
      <c r="C229" s="26" t="s">
        <v>493</v>
      </c>
    </row>
    <row r="230" spans="1:3" x14ac:dyDescent="0.25">
      <c r="A230" s="51"/>
      <c r="B230" s="51"/>
      <c r="C230" s="26" t="s">
        <v>494</v>
      </c>
    </row>
    <row r="231" spans="1:3" x14ac:dyDescent="0.25">
      <c r="A231" s="51"/>
      <c r="B231" s="51"/>
      <c r="C231" s="26" t="s">
        <v>495</v>
      </c>
    </row>
    <row r="232" spans="1:3" x14ac:dyDescent="0.25">
      <c r="A232" s="51"/>
      <c r="B232" s="51"/>
      <c r="C232" s="26" t="s">
        <v>496</v>
      </c>
    </row>
    <row r="233" spans="1:3" x14ac:dyDescent="0.25">
      <c r="A233" s="51"/>
      <c r="B233" s="51"/>
      <c r="C233" s="26" t="s">
        <v>497</v>
      </c>
    </row>
    <row r="234" spans="1:3" x14ac:dyDescent="0.25">
      <c r="A234" s="51"/>
      <c r="B234" s="51"/>
      <c r="C234" s="26" t="s">
        <v>338</v>
      </c>
    </row>
    <row r="235" spans="1:3" x14ac:dyDescent="0.25">
      <c r="A235" s="51"/>
      <c r="B235" s="51"/>
      <c r="C235" s="26" t="s">
        <v>498</v>
      </c>
    </row>
    <row r="236" spans="1:3" x14ac:dyDescent="0.25">
      <c r="A236" s="51"/>
      <c r="B236" s="51"/>
      <c r="C236" s="26" t="s">
        <v>499</v>
      </c>
    </row>
    <row r="237" spans="1:3" x14ac:dyDescent="0.25">
      <c r="A237" s="51"/>
      <c r="B237" s="51"/>
      <c r="C237" s="26" t="s">
        <v>500</v>
      </c>
    </row>
    <row r="238" spans="1:3" x14ac:dyDescent="0.25">
      <c r="A238" s="51"/>
      <c r="B238" s="51"/>
      <c r="C238" s="26" t="s">
        <v>340</v>
      </c>
    </row>
    <row r="239" spans="1:3" x14ac:dyDescent="0.25">
      <c r="A239" s="51"/>
      <c r="B239" s="51"/>
      <c r="C239" s="26" t="s">
        <v>380</v>
      </c>
    </row>
    <row r="240" spans="1:3" x14ac:dyDescent="0.25">
      <c r="A240" s="51"/>
      <c r="B240" s="51"/>
      <c r="C240" s="26" t="s">
        <v>501</v>
      </c>
    </row>
    <row r="241" spans="1:3" x14ac:dyDescent="0.25">
      <c r="A241" s="51"/>
      <c r="B241" s="51"/>
      <c r="C241" s="26" t="s">
        <v>502</v>
      </c>
    </row>
    <row r="242" spans="1:3" x14ac:dyDescent="0.25">
      <c r="A242" s="51"/>
      <c r="B242" s="51"/>
      <c r="C242" s="26" t="s">
        <v>503</v>
      </c>
    </row>
    <row r="243" spans="1:3" x14ac:dyDescent="0.25">
      <c r="A243" s="51"/>
      <c r="B243" s="51"/>
      <c r="C243" s="26" t="s">
        <v>504</v>
      </c>
    </row>
    <row r="244" spans="1:3" x14ac:dyDescent="0.25">
      <c r="A244" s="51"/>
      <c r="B244" s="51"/>
      <c r="C244" s="26" t="s">
        <v>505</v>
      </c>
    </row>
    <row r="245" spans="1:3" x14ac:dyDescent="0.25">
      <c r="A245" s="51"/>
      <c r="B245" s="51"/>
      <c r="C245" s="26" t="s">
        <v>506</v>
      </c>
    </row>
    <row r="246" spans="1:3" x14ac:dyDescent="0.25">
      <c r="A246" s="51"/>
      <c r="B246" s="51"/>
      <c r="C246" s="26"/>
    </row>
    <row r="247" spans="1:3" x14ac:dyDescent="0.25">
      <c r="A247" s="51"/>
      <c r="B247" s="51"/>
      <c r="C247" s="26" t="s">
        <v>507</v>
      </c>
    </row>
    <row r="248" spans="1:3" x14ac:dyDescent="0.25">
      <c r="A248" s="51"/>
      <c r="B248" s="51"/>
      <c r="C248" s="26" t="s">
        <v>508</v>
      </c>
    </row>
    <row r="249" spans="1:3" x14ac:dyDescent="0.25">
      <c r="A249" s="51"/>
      <c r="B249" s="51"/>
      <c r="C249" s="26" t="s">
        <v>381</v>
      </c>
    </row>
    <row r="250" spans="1:3" x14ac:dyDescent="0.25">
      <c r="A250" s="51"/>
      <c r="B250" s="51"/>
      <c r="C250" s="26" t="s">
        <v>509</v>
      </c>
    </row>
    <row r="251" spans="1:3" x14ac:dyDescent="0.25">
      <c r="A251" s="51"/>
      <c r="B251" s="51"/>
      <c r="C251" s="26"/>
    </row>
    <row r="252" spans="1:3" x14ac:dyDescent="0.25">
      <c r="A252" s="51"/>
      <c r="B252" s="51"/>
      <c r="C252" s="26"/>
    </row>
    <row r="253" spans="1:3" x14ac:dyDescent="0.25">
      <c r="A253" s="51"/>
      <c r="B253" s="51"/>
      <c r="C253" s="26" t="s">
        <v>330</v>
      </c>
    </row>
    <row r="254" spans="1:3" x14ac:dyDescent="0.25">
      <c r="A254" s="51"/>
      <c r="B254" s="51"/>
      <c r="C254" s="26" t="s">
        <v>481</v>
      </c>
    </row>
    <row r="255" spans="1:3" x14ac:dyDescent="0.25">
      <c r="A255" s="51"/>
      <c r="B255" s="51"/>
      <c r="C255" s="26" t="s">
        <v>482</v>
      </c>
    </row>
    <row r="256" spans="1:3" x14ac:dyDescent="0.25">
      <c r="A256" s="51"/>
      <c r="B256" s="51"/>
      <c r="C256" s="26" t="s">
        <v>483</v>
      </c>
    </row>
    <row r="257" spans="1:3" x14ac:dyDescent="0.25">
      <c r="A257" s="51"/>
      <c r="B257" s="51"/>
      <c r="C257" s="26" t="s">
        <v>510</v>
      </c>
    </row>
    <row r="258" spans="1:3" x14ac:dyDescent="0.25">
      <c r="A258" s="51"/>
      <c r="B258" s="51"/>
      <c r="C258" s="26" t="s">
        <v>511</v>
      </c>
    </row>
    <row r="259" spans="1:3" x14ac:dyDescent="0.25">
      <c r="A259" s="51"/>
      <c r="B259" s="51"/>
      <c r="C259" s="26" t="s">
        <v>334</v>
      </c>
    </row>
    <row r="260" spans="1:3" x14ac:dyDescent="0.25">
      <c r="A260" s="51"/>
      <c r="B260" s="51"/>
      <c r="C260" s="26" t="s">
        <v>355</v>
      </c>
    </row>
    <row r="261" spans="1:3" x14ac:dyDescent="0.25">
      <c r="A261" s="51"/>
      <c r="B261" s="51"/>
      <c r="C261" s="26" t="s">
        <v>485</v>
      </c>
    </row>
    <row r="262" spans="1:3" x14ac:dyDescent="0.25">
      <c r="A262" s="51"/>
      <c r="B262" s="51"/>
      <c r="C262" s="26" t="s">
        <v>358</v>
      </c>
    </row>
    <row r="263" spans="1:3" x14ac:dyDescent="0.25">
      <c r="A263" s="51"/>
      <c r="B263" s="51"/>
      <c r="C263" s="26" t="s">
        <v>335</v>
      </c>
    </row>
    <row r="264" spans="1:3" x14ac:dyDescent="0.25">
      <c r="A264" s="51"/>
      <c r="B264" s="51"/>
      <c r="C264" s="26" t="s">
        <v>473</v>
      </c>
    </row>
    <row r="265" spans="1:3" x14ac:dyDescent="0.25">
      <c r="A265" s="51"/>
      <c r="B265" s="51"/>
      <c r="C265" s="26" t="s">
        <v>474</v>
      </c>
    </row>
    <row r="266" spans="1:3" x14ac:dyDescent="0.25">
      <c r="A266" s="51"/>
      <c r="B266" s="51"/>
      <c r="C266" s="26" t="s">
        <v>338</v>
      </c>
    </row>
    <row r="267" spans="1:3" x14ac:dyDescent="0.25">
      <c r="A267" s="51"/>
      <c r="B267" s="51"/>
      <c r="C267" s="26" t="s">
        <v>512</v>
      </c>
    </row>
    <row r="268" spans="1:3" x14ac:dyDescent="0.25">
      <c r="A268" s="51"/>
      <c r="B268" s="51"/>
      <c r="C268" s="26" t="s">
        <v>340</v>
      </c>
    </row>
    <row r="269" spans="1:3" x14ac:dyDescent="0.25">
      <c r="A269" s="51"/>
      <c r="B269" s="51"/>
      <c r="C269" s="26" t="s">
        <v>476</v>
      </c>
    </row>
    <row r="270" spans="1:3" x14ac:dyDescent="0.25">
      <c r="A270" s="51"/>
      <c r="B270" s="51"/>
      <c r="C270" s="26" t="s">
        <v>513</v>
      </c>
    </row>
    <row r="271" spans="1:3" x14ac:dyDescent="0.25">
      <c r="A271" s="51"/>
      <c r="B271" s="51"/>
      <c r="C271" s="26" t="s">
        <v>478</v>
      </c>
    </row>
    <row r="272" spans="1:3" x14ac:dyDescent="0.25">
      <c r="A272" s="51"/>
      <c r="B272" s="51"/>
      <c r="C272" s="26" t="s">
        <v>479</v>
      </c>
    </row>
    <row r="273" spans="1:3" x14ac:dyDescent="0.25">
      <c r="A273" s="51"/>
      <c r="B273" s="51"/>
      <c r="C273" s="26" t="s">
        <v>514</v>
      </c>
    </row>
    <row r="274" spans="1:3" x14ac:dyDescent="0.25">
      <c r="A274" s="51"/>
      <c r="B274" s="51"/>
      <c r="C274" s="26"/>
    </row>
    <row r="275" spans="1:3" x14ac:dyDescent="0.25">
      <c r="A275" s="51"/>
      <c r="B275" s="51"/>
      <c r="C275" s="26" t="s">
        <v>330</v>
      </c>
    </row>
    <row r="276" spans="1:3" x14ac:dyDescent="0.25">
      <c r="A276" s="51"/>
      <c r="B276" s="51"/>
      <c r="C276" s="26" t="s">
        <v>481</v>
      </c>
    </row>
    <row r="277" spans="1:3" x14ac:dyDescent="0.25">
      <c r="A277" s="51"/>
      <c r="B277" s="51"/>
      <c r="C277" s="26" t="s">
        <v>515</v>
      </c>
    </row>
    <row r="278" spans="1:3" x14ac:dyDescent="0.25">
      <c r="A278" s="51"/>
      <c r="B278" s="51"/>
      <c r="C278" s="26" t="s">
        <v>467</v>
      </c>
    </row>
    <row r="279" spans="1:3" x14ac:dyDescent="0.25">
      <c r="A279" s="51"/>
      <c r="B279" s="51"/>
      <c r="C279" s="26" t="s">
        <v>516</v>
      </c>
    </row>
    <row r="280" spans="1:3" x14ac:dyDescent="0.25">
      <c r="A280" s="51"/>
      <c r="B280" s="51"/>
      <c r="C280" s="26" t="s">
        <v>334</v>
      </c>
    </row>
    <row r="281" spans="1:3" x14ac:dyDescent="0.25">
      <c r="A281" s="51"/>
      <c r="B281" s="51"/>
      <c r="C281" s="26" t="s">
        <v>355</v>
      </c>
    </row>
    <row r="282" spans="1:3" x14ac:dyDescent="0.25">
      <c r="A282" s="51"/>
      <c r="B282" s="51"/>
      <c r="C282" s="26" t="s">
        <v>485</v>
      </c>
    </row>
    <row r="283" spans="1:3" x14ac:dyDescent="0.25">
      <c r="A283" s="51"/>
      <c r="B283" s="51"/>
      <c r="C283" s="26" t="s">
        <v>358</v>
      </c>
    </row>
    <row r="284" spans="1:3" x14ac:dyDescent="0.25">
      <c r="A284" s="51"/>
      <c r="B284" s="51"/>
      <c r="C284" s="26" t="s">
        <v>486</v>
      </c>
    </row>
    <row r="285" spans="1:3" x14ac:dyDescent="0.25">
      <c r="A285" s="51"/>
      <c r="B285" s="51"/>
      <c r="C285" s="26" t="s">
        <v>487</v>
      </c>
    </row>
    <row r="286" spans="1:3" x14ac:dyDescent="0.25">
      <c r="A286" s="51"/>
      <c r="B286" s="51"/>
      <c r="C286" s="26" t="s">
        <v>488</v>
      </c>
    </row>
    <row r="287" spans="1:3" x14ac:dyDescent="0.25">
      <c r="A287" s="51"/>
      <c r="B287" s="51"/>
      <c r="C287" s="26" t="s">
        <v>489</v>
      </c>
    </row>
    <row r="288" spans="1:3" x14ac:dyDescent="0.25">
      <c r="A288" s="51"/>
      <c r="B288" s="51"/>
      <c r="C288" s="26" t="s">
        <v>490</v>
      </c>
    </row>
    <row r="289" spans="1:3" x14ac:dyDescent="0.25">
      <c r="A289" s="51"/>
      <c r="B289" s="51"/>
      <c r="C289" s="26" t="s">
        <v>358</v>
      </c>
    </row>
    <row r="290" spans="1:3" x14ac:dyDescent="0.25">
      <c r="A290" s="51"/>
      <c r="B290" s="51"/>
      <c r="C290" s="26" t="s">
        <v>517</v>
      </c>
    </row>
    <row r="291" spans="1:3" x14ac:dyDescent="0.25">
      <c r="A291" s="51"/>
      <c r="B291" s="51"/>
      <c r="C291" s="26" t="s">
        <v>518</v>
      </c>
    </row>
    <row r="292" spans="1:3" x14ac:dyDescent="0.25">
      <c r="A292" s="51"/>
      <c r="B292" s="51"/>
      <c r="C292" s="26" t="s">
        <v>519</v>
      </c>
    </row>
    <row r="293" spans="1:3" x14ac:dyDescent="0.25">
      <c r="A293" s="51"/>
      <c r="B293" s="51"/>
      <c r="C293" s="26" t="s">
        <v>520</v>
      </c>
    </row>
    <row r="294" spans="1:3" x14ac:dyDescent="0.25">
      <c r="A294" s="51"/>
      <c r="B294" s="51"/>
      <c r="C294" s="26" t="s">
        <v>521</v>
      </c>
    </row>
    <row r="295" spans="1:3" x14ac:dyDescent="0.25">
      <c r="A295" s="51"/>
      <c r="B295" s="51"/>
      <c r="C295" s="26" t="s">
        <v>358</v>
      </c>
    </row>
    <row r="296" spans="1:3" x14ac:dyDescent="0.25">
      <c r="A296" s="51"/>
      <c r="B296" s="51"/>
      <c r="C296" s="26" t="s">
        <v>335</v>
      </c>
    </row>
    <row r="297" spans="1:3" x14ac:dyDescent="0.25">
      <c r="A297" s="51"/>
      <c r="B297" s="51"/>
      <c r="C297" s="26" t="s">
        <v>522</v>
      </c>
    </row>
    <row r="298" spans="1:3" x14ac:dyDescent="0.25">
      <c r="A298" s="51"/>
      <c r="B298" s="51"/>
      <c r="C298" s="26" t="s">
        <v>523</v>
      </c>
    </row>
    <row r="299" spans="1:3" x14ac:dyDescent="0.25">
      <c r="A299" s="51"/>
      <c r="B299" s="51"/>
      <c r="C299" s="26" t="s">
        <v>338</v>
      </c>
    </row>
    <row r="300" spans="1:3" x14ac:dyDescent="0.25">
      <c r="A300" s="51"/>
      <c r="B300" s="51"/>
      <c r="C300" s="26" t="s">
        <v>498</v>
      </c>
    </row>
    <row r="301" spans="1:3" x14ac:dyDescent="0.25">
      <c r="A301" s="51"/>
      <c r="B301" s="51"/>
      <c r="C301" s="26" t="s">
        <v>499</v>
      </c>
    </row>
    <row r="302" spans="1:3" x14ac:dyDescent="0.25">
      <c r="A302" s="51"/>
      <c r="B302" s="51"/>
      <c r="C302" s="26" t="s">
        <v>524</v>
      </c>
    </row>
    <row r="303" spans="1:3" x14ac:dyDescent="0.25">
      <c r="A303" s="51"/>
      <c r="B303" s="51"/>
      <c r="C303" s="26" t="s">
        <v>525</v>
      </c>
    </row>
    <row r="304" spans="1:3" x14ac:dyDescent="0.25">
      <c r="A304" s="51"/>
      <c r="B304" s="51"/>
      <c r="C304" s="26" t="s">
        <v>340</v>
      </c>
    </row>
    <row r="305" spans="1:3" x14ac:dyDescent="0.25">
      <c r="A305" s="51"/>
      <c r="B305" s="51"/>
      <c r="C305" s="26" t="s">
        <v>526</v>
      </c>
    </row>
    <row r="306" spans="1:3" x14ac:dyDescent="0.25">
      <c r="A306" s="51"/>
      <c r="B306" s="51"/>
      <c r="C306" s="26" t="s">
        <v>377</v>
      </c>
    </row>
    <row r="307" spans="1:3" x14ac:dyDescent="0.25">
      <c r="A307" s="51"/>
      <c r="B307" s="51"/>
      <c r="C307" s="26" t="s">
        <v>527</v>
      </c>
    </row>
    <row r="308" spans="1:3" x14ac:dyDescent="0.25">
      <c r="A308" s="51"/>
      <c r="B308" s="51"/>
      <c r="C308" s="26" t="s">
        <v>528</v>
      </c>
    </row>
    <row r="309" spans="1:3" x14ac:dyDescent="0.25">
      <c r="A309" s="51"/>
      <c r="B309" s="51"/>
      <c r="C309" s="26" t="s">
        <v>529</v>
      </c>
    </row>
    <row r="310" spans="1:3" x14ac:dyDescent="0.25">
      <c r="A310" s="51"/>
      <c r="B310" s="51"/>
      <c r="C310" s="26" t="s">
        <v>530</v>
      </c>
    </row>
    <row r="311" spans="1:3" x14ac:dyDescent="0.25">
      <c r="A311" s="51"/>
      <c r="B311" s="51"/>
      <c r="C311" s="26" t="s">
        <v>531</v>
      </c>
    </row>
    <row r="312" spans="1:3" x14ac:dyDescent="0.25">
      <c r="A312" s="51"/>
      <c r="B312" s="51"/>
      <c r="C312" s="26" t="s">
        <v>532</v>
      </c>
    </row>
    <row r="313" spans="1:3" x14ac:dyDescent="0.25">
      <c r="A313" s="51"/>
      <c r="B313" s="51"/>
      <c r="C313" s="26" t="s">
        <v>533</v>
      </c>
    </row>
    <row r="314" spans="1:3" x14ac:dyDescent="0.25">
      <c r="A314" s="51"/>
      <c r="B314" s="51"/>
      <c r="C314" s="26" t="s">
        <v>534</v>
      </c>
    </row>
    <row r="315" spans="1:3" x14ac:dyDescent="0.25">
      <c r="A315" s="51"/>
      <c r="B315" s="51"/>
      <c r="C315" s="26"/>
    </row>
    <row r="316" spans="1:3" x14ac:dyDescent="0.25">
      <c r="A316" s="51"/>
      <c r="B316" s="51"/>
      <c r="C316" s="26"/>
    </row>
    <row r="317" spans="1:3" x14ac:dyDescent="0.25">
      <c r="A317" s="51"/>
      <c r="B317" s="51"/>
      <c r="C317" s="26" t="s">
        <v>330</v>
      </c>
    </row>
    <row r="318" spans="1:3" x14ac:dyDescent="0.25">
      <c r="A318" s="51"/>
      <c r="B318" s="51"/>
      <c r="C318" s="26" t="s">
        <v>481</v>
      </c>
    </row>
    <row r="319" spans="1:3" x14ac:dyDescent="0.25">
      <c r="A319" s="51"/>
      <c r="B319" s="51"/>
      <c r="C319" s="26" t="s">
        <v>515</v>
      </c>
    </row>
    <row r="320" spans="1:3" x14ac:dyDescent="0.25">
      <c r="A320" s="51"/>
      <c r="B320" s="51"/>
      <c r="C320" s="26" t="s">
        <v>467</v>
      </c>
    </row>
    <row r="321" spans="1:3" x14ac:dyDescent="0.25">
      <c r="A321" s="51"/>
      <c r="B321" s="51"/>
      <c r="C321" s="26" t="s">
        <v>516</v>
      </c>
    </row>
    <row r="322" spans="1:3" x14ac:dyDescent="0.25">
      <c r="A322" s="51"/>
      <c r="B322" s="51"/>
      <c r="C322" s="26" t="s">
        <v>334</v>
      </c>
    </row>
    <row r="323" spans="1:3" x14ac:dyDescent="0.25">
      <c r="A323" s="51"/>
      <c r="B323" s="51"/>
      <c r="C323" s="26" t="s">
        <v>486</v>
      </c>
    </row>
    <row r="324" spans="1:3" x14ac:dyDescent="0.25">
      <c r="A324" s="51"/>
      <c r="B324" s="51"/>
      <c r="C324" s="26" t="s">
        <v>487</v>
      </c>
    </row>
    <row r="325" spans="1:3" x14ac:dyDescent="0.25">
      <c r="A325" s="51"/>
      <c r="B325" s="51"/>
      <c r="C325" s="26" t="s">
        <v>488</v>
      </c>
    </row>
    <row r="326" spans="1:3" x14ac:dyDescent="0.25">
      <c r="A326" s="51"/>
      <c r="B326" s="51"/>
      <c r="C326" s="26" t="s">
        <v>489</v>
      </c>
    </row>
    <row r="327" spans="1:3" x14ac:dyDescent="0.25">
      <c r="A327" s="51"/>
      <c r="B327" s="51"/>
      <c r="C327" s="26" t="s">
        <v>490</v>
      </c>
    </row>
    <row r="328" spans="1:3" x14ac:dyDescent="0.25">
      <c r="A328" s="51"/>
      <c r="B328" s="51"/>
      <c r="C328" s="26" t="s">
        <v>358</v>
      </c>
    </row>
    <row r="329" spans="1:3" x14ac:dyDescent="0.25">
      <c r="A329" s="51"/>
      <c r="B329" s="51"/>
      <c r="C329" s="26" t="s">
        <v>517</v>
      </c>
    </row>
    <row r="330" spans="1:3" x14ac:dyDescent="0.25">
      <c r="A330" s="51"/>
      <c r="B330" s="51"/>
      <c r="C330" s="26" t="s">
        <v>518</v>
      </c>
    </row>
    <row r="331" spans="1:3" x14ac:dyDescent="0.25">
      <c r="A331" s="51"/>
      <c r="B331" s="51"/>
      <c r="C331" s="26" t="s">
        <v>519</v>
      </c>
    </row>
    <row r="332" spans="1:3" x14ac:dyDescent="0.25">
      <c r="A332" s="51"/>
      <c r="B332" s="51"/>
      <c r="C332" s="26" t="s">
        <v>520</v>
      </c>
    </row>
    <row r="333" spans="1:3" x14ac:dyDescent="0.25">
      <c r="A333" s="51"/>
      <c r="B333" s="51"/>
      <c r="C333" s="26" t="s">
        <v>521</v>
      </c>
    </row>
    <row r="334" spans="1:3" x14ac:dyDescent="0.25">
      <c r="A334" s="51"/>
      <c r="B334" s="51"/>
      <c r="C334" s="26" t="s">
        <v>358</v>
      </c>
    </row>
    <row r="335" spans="1:3" x14ac:dyDescent="0.25">
      <c r="A335" s="51"/>
      <c r="B335" s="51"/>
      <c r="C335" s="26" t="s">
        <v>335</v>
      </c>
    </row>
    <row r="336" spans="1:3" x14ac:dyDescent="0.25">
      <c r="A336" s="51"/>
      <c r="B336" s="51"/>
      <c r="C336" s="26" t="s">
        <v>535</v>
      </c>
    </row>
    <row r="337" spans="1:3" x14ac:dyDescent="0.25">
      <c r="A337" s="51"/>
      <c r="B337" s="51"/>
      <c r="C337" s="26" t="s">
        <v>536</v>
      </c>
    </row>
    <row r="338" spans="1:3" x14ac:dyDescent="0.25">
      <c r="A338" s="51"/>
      <c r="B338" s="51"/>
      <c r="C338" s="26" t="s">
        <v>537</v>
      </c>
    </row>
    <row r="339" spans="1:3" x14ac:dyDescent="0.25">
      <c r="A339" s="51"/>
      <c r="B339" s="51"/>
      <c r="C339" s="26" t="s">
        <v>538</v>
      </c>
    </row>
    <row r="340" spans="1:3" x14ac:dyDescent="0.25">
      <c r="A340" s="51"/>
      <c r="B340" s="51"/>
      <c r="C340" s="26" t="s">
        <v>338</v>
      </c>
    </row>
    <row r="341" spans="1:3" x14ac:dyDescent="0.25">
      <c r="A341" s="51"/>
      <c r="B341" s="51"/>
      <c r="C341" s="26" t="s">
        <v>498</v>
      </c>
    </row>
    <row r="342" spans="1:3" x14ac:dyDescent="0.25">
      <c r="A342" s="51"/>
      <c r="B342" s="51"/>
      <c r="C342" s="26" t="s">
        <v>524</v>
      </c>
    </row>
    <row r="343" spans="1:3" x14ac:dyDescent="0.25">
      <c r="A343" s="51"/>
      <c r="B343" s="51"/>
      <c r="C343" s="26" t="s">
        <v>525</v>
      </c>
    </row>
    <row r="344" spans="1:3" x14ac:dyDescent="0.25">
      <c r="A344" s="51"/>
      <c r="B344" s="51"/>
      <c r="C344" s="26" t="s">
        <v>340</v>
      </c>
    </row>
    <row r="345" spans="1:3" x14ac:dyDescent="0.25">
      <c r="A345" s="51"/>
      <c r="B345" s="51"/>
      <c r="C345" s="26" t="s">
        <v>539</v>
      </c>
    </row>
    <row r="346" spans="1:3" x14ac:dyDescent="0.25">
      <c r="A346" s="51"/>
      <c r="B346" s="51"/>
      <c r="C346" s="26" t="s">
        <v>540</v>
      </c>
    </row>
    <row r="347" spans="1:3" x14ac:dyDescent="0.25">
      <c r="A347" s="51"/>
      <c r="B347" s="51"/>
      <c r="C347" s="26" t="s">
        <v>541</v>
      </c>
    </row>
    <row r="348" spans="1:3" x14ac:dyDescent="0.25">
      <c r="A348" s="51"/>
      <c r="B348" s="51"/>
      <c r="C348" s="26" t="s">
        <v>542</v>
      </c>
    </row>
    <row r="349" spans="1:3" x14ac:dyDescent="0.25">
      <c r="A349" s="51"/>
      <c r="B349" s="51"/>
      <c r="C349" s="26"/>
    </row>
    <row r="350" spans="1:3" x14ac:dyDescent="0.25">
      <c r="A350" s="51"/>
      <c r="B350" s="51"/>
      <c r="C350" s="26"/>
    </row>
    <row r="351" spans="1:3" x14ac:dyDescent="0.25">
      <c r="A351" s="51"/>
      <c r="B351" s="51"/>
      <c r="C351" s="26" t="s">
        <v>330</v>
      </c>
    </row>
    <row r="352" spans="1:3" x14ac:dyDescent="0.25">
      <c r="A352" s="51"/>
      <c r="B352" s="51"/>
      <c r="C352" s="26" t="s">
        <v>481</v>
      </c>
    </row>
    <row r="353" spans="1:3" x14ac:dyDescent="0.25">
      <c r="A353" s="51"/>
      <c r="B353" s="51"/>
      <c r="C353" s="26" t="s">
        <v>515</v>
      </c>
    </row>
    <row r="354" spans="1:3" x14ac:dyDescent="0.25">
      <c r="A354" s="51"/>
      <c r="B354" s="51"/>
      <c r="C354" s="26" t="s">
        <v>467</v>
      </c>
    </row>
    <row r="355" spans="1:3" x14ac:dyDescent="0.25">
      <c r="A355" s="51"/>
      <c r="B355" s="51"/>
      <c r="C355" s="26" t="s">
        <v>468</v>
      </c>
    </row>
    <row r="356" spans="1:3" x14ac:dyDescent="0.25">
      <c r="A356" s="51"/>
      <c r="B356" s="51"/>
      <c r="C356" s="26" t="s">
        <v>469</v>
      </c>
    </row>
    <row r="357" spans="1:3" x14ac:dyDescent="0.25">
      <c r="A357" s="51"/>
      <c r="B357" s="51"/>
      <c r="C357" s="26" t="s">
        <v>334</v>
      </c>
    </row>
    <row r="358" spans="1:3" x14ac:dyDescent="0.25">
      <c r="A358" s="51"/>
      <c r="B358" s="51"/>
      <c r="C358" s="26" t="s">
        <v>355</v>
      </c>
    </row>
    <row r="359" spans="1:3" x14ac:dyDescent="0.25">
      <c r="A359" s="51"/>
      <c r="B359" s="51"/>
      <c r="C359" s="26" t="s">
        <v>485</v>
      </c>
    </row>
    <row r="360" spans="1:3" x14ac:dyDescent="0.25">
      <c r="A360" s="51"/>
      <c r="B360" s="51"/>
      <c r="C360" s="26" t="s">
        <v>358</v>
      </c>
    </row>
    <row r="361" spans="1:3" x14ac:dyDescent="0.25">
      <c r="A361" s="51"/>
      <c r="B361" s="51"/>
      <c r="C361" s="26" t="s">
        <v>517</v>
      </c>
    </row>
    <row r="362" spans="1:3" x14ac:dyDescent="0.25">
      <c r="A362" s="51"/>
      <c r="B362" s="51"/>
      <c r="C362" s="26" t="s">
        <v>518</v>
      </c>
    </row>
    <row r="363" spans="1:3" x14ac:dyDescent="0.25">
      <c r="A363" s="51"/>
      <c r="B363" s="51"/>
      <c r="C363" s="26" t="s">
        <v>519</v>
      </c>
    </row>
    <row r="364" spans="1:3" x14ac:dyDescent="0.25">
      <c r="A364" s="51"/>
      <c r="B364" s="51"/>
      <c r="C364" s="26" t="s">
        <v>520</v>
      </c>
    </row>
    <row r="365" spans="1:3" x14ac:dyDescent="0.25">
      <c r="A365" s="51"/>
      <c r="B365" s="51"/>
      <c r="C365" s="26" t="s">
        <v>521</v>
      </c>
    </row>
    <row r="366" spans="1:3" x14ac:dyDescent="0.25">
      <c r="A366" s="51"/>
      <c r="B366" s="51"/>
      <c r="C366" s="26" t="s">
        <v>358</v>
      </c>
    </row>
    <row r="367" spans="1:3" x14ac:dyDescent="0.25">
      <c r="A367" s="51"/>
      <c r="B367" s="51"/>
      <c r="C367" s="26" t="s">
        <v>335</v>
      </c>
    </row>
    <row r="368" spans="1:3" x14ac:dyDescent="0.25">
      <c r="A368" s="51"/>
      <c r="B368" s="51"/>
      <c r="C368" s="26" t="s">
        <v>535</v>
      </c>
    </row>
    <row r="369" spans="1:3" x14ac:dyDescent="0.25">
      <c r="A369" s="51"/>
      <c r="B369" s="51"/>
      <c r="C369" s="26" t="s">
        <v>543</v>
      </c>
    </row>
    <row r="370" spans="1:3" x14ac:dyDescent="0.25">
      <c r="A370" s="51"/>
      <c r="B370" s="51"/>
      <c r="C370" s="26" t="s">
        <v>544</v>
      </c>
    </row>
    <row r="371" spans="1:3" x14ac:dyDescent="0.25">
      <c r="A371" s="51"/>
      <c r="B371" s="51"/>
      <c r="C371" s="26" t="s">
        <v>338</v>
      </c>
    </row>
    <row r="372" spans="1:3" x14ac:dyDescent="0.25">
      <c r="A372" s="51"/>
      <c r="B372" s="51"/>
      <c r="C372" s="26" t="s">
        <v>498</v>
      </c>
    </row>
    <row r="373" spans="1:3" x14ac:dyDescent="0.25">
      <c r="A373" s="51"/>
      <c r="B373" s="51"/>
      <c r="C373" s="26" t="s">
        <v>499</v>
      </c>
    </row>
    <row r="374" spans="1:3" x14ac:dyDescent="0.25">
      <c r="A374" s="51"/>
      <c r="B374" s="51"/>
      <c r="C374" s="26" t="s">
        <v>525</v>
      </c>
    </row>
    <row r="375" spans="1:3" x14ac:dyDescent="0.25">
      <c r="A375" s="51"/>
      <c r="B375" s="51"/>
      <c r="C375" s="26" t="s">
        <v>340</v>
      </c>
    </row>
    <row r="376" spans="1:3" x14ac:dyDescent="0.25">
      <c r="A376" s="51"/>
      <c r="B376" s="51"/>
      <c r="C376" s="26" t="s">
        <v>476</v>
      </c>
    </row>
    <row r="377" spans="1:3" x14ac:dyDescent="0.25">
      <c r="A377" s="51"/>
      <c r="B377" s="51"/>
      <c r="C377" s="26" t="s">
        <v>513</v>
      </c>
    </row>
    <row r="378" spans="1:3" x14ac:dyDescent="0.25">
      <c r="A378" s="51"/>
      <c r="B378" s="51"/>
      <c r="C378" s="26" t="s">
        <v>478</v>
      </c>
    </row>
    <row r="379" spans="1:3" x14ac:dyDescent="0.25">
      <c r="A379" s="51"/>
      <c r="B379" s="51"/>
      <c r="C379" s="26" t="s">
        <v>545</v>
      </c>
    </row>
    <row r="380" spans="1:3" x14ac:dyDescent="0.25">
      <c r="A380" s="51"/>
      <c r="B380" s="51"/>
      <c r="C380" s="26" t="s">
        <v>546</v>
      </c>
    </row>
    <row r="381" spans="1:3" x14ac:dyDescent="0.25">
      <c r="A381" s="51"/>
      <c r="B381" s="51"/>
      <c r="C381" s="26"/>
    </row>
    <row r="382" spans="1:3" x14ac:dyDescent="0.25">
      <c r="A382" s="51"/>
      <c r="B382" s="51"/>
      <c r="C382" s="26"/>
    </row>
    <row r="383" spans="1:3" x14ac:dyDescent="0.25">
      <c r="A383" s="51"/>
      <c r="B383" s="51"/>
      <c r="C383" s="26" t="s">
        <v>330</v>
      </c>
    </row>
    <row r="384" spans="1:3" x14ac:dyDescent="0.25">
      <c r="A384" s="51"/>
      <c r="B384" s="51"/>
      <c r="C384" s="26" t="s">
        <v>465</v>
      </c>
    </row>
    <row r="385" spans="1:3" x14ac:dyDescent="0.25">
      <c r="A385" s="51"/>
      <c r="B385" s="51"/>
      <c r="C385" s="26" t="s">
        <v>466</v>
      </c>
    </row>
    <row r="386" spans="1:3" x14ac:dyDescent="0.25">
      <c r="A386" s="51"/>
      <c r="B386" s="51"/>
      <c r="C386" s="26" t="s">
        <v>467</v>
      </c>
    </row>
    <row r="387" spans="1:3" x14ac:dyDescent="0.25">
      <c r="A387" s="51"/>
      <c r="B387" s="51"/>
      <c r="C387" s="26" t="s">
        <v>468</v>
      </c>
    </row>
    <row r="388" spans="1:3" x14ac:dyDescent="0.25">
      <c r="A388" s="51"/>
      <c r="B388" s="51"/>
      <c r="C388" s="26" t="s">
        <v>469</v>
      </c>
    </row>
    <row r="389" spans="1:3" x14ac:dyDescent="0.25">
      <c r="A389" s="51"/>
      <c r="B389" s="51"/>
      <c r="C389" s="26" t="s">
        <v>334</v>
      </c>
    </row>
    <row r="390" spans="1:3" x14ac:dyDescent="0.25">
      <c r="A390" s="51"/>
      <c r="B390" s="51"/>
      <c r="C390" s="26" t="s">
        <v>517</v>
      </c>
    </row>
    <row r="391" spans="1:3" x14ac:dyDescent="0.25">
      <c r="A391" s="51"/>
      <c r="B391" s="51"/>
      <c r="C391" s="26" t="s">
        <v>518</v>
      </c>
    </row>
    <row r="392" spans="1:3" x14ac:dyDescent="0.25">
      <c r="A392" s="51"/>
      <c r="B392" s="51"/>
      <c r="C392" s="26" t="s">
        <v>519</v>
      </c>
    </row>
    <row r="393" spans="1:3" x14ac:dyDescent="0.25">
      <c r="A393" s="51"/>
      <c r="B393" s="51"/>
      <c r="C393" s="26" t="s">
        <v>520</v>
      </c>
    </row>
    <row r="394" spans="1:3" x14ac:dyDescent="0.25">
      <c r="A394" s="51"/>
      <c r="B394" s="51"/>
      <c r="C394" s="26" t="s">
        <v>521</v>
      </c>
    </row>
    <row r="395" spans="1:3" x14ac:dyDescent="0.25">
      <c r="A395" s="51"/>
      <c r="B395" s="51"/>
      <c r="C395" s="26" t="s">
        <v>358</v>
      </c>
    </row>
    <row r="396" spans="1:3" x14ac:dyDescent="0.25">
      <c r="A396" s="51"/>
      <c r="B396" s="51"/>
      <c r="C396" s="26" t="s">
        <v>335</v>
      </c>
    </row>
    <row r="397" spans="1:3" x14ac:dyDescent="0.25">
      <c r="A397" s="51"/>
      <c r="B397" s="51"/>
      <c r="C397" s="26" t="s">
        <v>535</v>
      </c>
    </row>
    <row r="398" spans="1:3" x14ac:dyDescent="0.25">
      <c r="A398" s="51"/>
      <c r="B398" s="51"/>
      <c r="C398" s="26" t="s">
        <v>536</v>
      </c>
    </row>
    <row r="399" spans="1:3" x14ac:dyDescent="0.25">
      <c r="A399" s="51"/>
      <c r="B399" s="51"/>
      <c r="C399" s="26" t="s">
        <v>537</v>
      </c>
    </row>
    <row r="400" spans="1:3" x14ac:dyDescent="0.25">
      <c r="A400" s="51"/>
      <c r="B400" s="51"/>
      <c r="C400" s="26" t="s">
        <v>547</v>
      </c>
    </row>
    <row r="401" spans="1:3" x14ac:dyDescent="0.25">
      <c r="A401" s="51"/>
      <c r="B401" s="51"/>
      <c r="C401" s="26" t="s">
        <v>548</v>
      </c>
    </row>
    <row r="402" spans="1:3" x14ac:dyDescent="0.25">
      <c r="A402" s="51"/>
      <c r="B402" s="51"/>
      <c r="C402" s="26" t="s">
        <v>338</v>
      </c>
    </row>
    <row r="403" spans="1:3" x14ac:dyDescent="0.25">
      <c r="A403" s="51"/>
      <c r="B403" s="51"/>
      <c r="C403" s="26" t="s">
        <v>549</v>
      </c>
    </row>
    <row r="404" spans="1:3" x14ac:dyDescent="0.25">
      <c r="A404" s="51"/>
      <c r="B404" s="51"/>
      <c r="C404" s="26" t="s">
        <v>340</v>
      </c>
    </row>
    <row r="405" spans="1:3" x14ac:dyDescent="0.25">
      <c r="A405" s="51"/>
      <c r="B405" s="51"/>
      <c r="C405" s="26" t="s">
        <v>476</v>
      </c>
    </row>
    <row r="406" spans="1:3" x14ac:dyDescent="0.25">
      <c r="A406" s="51"/>
      <c r="B406" s="51"/>
      <c r="C406" s="26" t="s">
        <v>477</v>
      </c>
    </row>
    <row r="407" spans="1:3" x14ac:dyDescent="0.25">
      <c r="A407" s="51"/>
      <c r="B407" s="51"/>
      <c r="C407" s="26" t="s">
        <v>478</v>
      </c>
    </row>
    <row r="408" spans="1:3" x14ac:dyDescent="0.25">
      <c r="A408" s="51"/>
      <c r="B408" s="51"/>
      <c r="C408" s="26" t="s">
        <v>545</v>
      </c>
    </row>
    <row r="409" spans="1:3" x14ac:dyDescent="0.25">
      <c r="A409" s="51"/>
      <c r="B409" s="51"/>
      <c r="C409" s="26" t="s">
        <v>550</v>
      </c>
    </row>
    <row r="410" spans="1:3" x14ac:dyDescent="0.25">
      <c r="A410" s="51"/>
      <c r="B410" s="51"/>
      <c r="C410" s="26" t="s">
        <v>330</v>
      </c>
    </row>
    <row r="411" spans="1:3" x14ac:dyDescent="0.25">
      <c r="A411" s="51"/>
      <c r="B411" s="51"/>
      <c r="C411" s="26" t="s">
        <v>481</v>
      </c>
    </row>
    <row r="412" spans="1:3" x14ac:dyDescent="0.25">
      <c r="A412" s="51"/>
      <c r="B412" s="51"/>
      <c r="C412" s="26" t="s">
        <v>515</v>
      </c>
    </row>
    <row r="413" spans="1:3" x14ac:dyDescent="0.25">
      <c r="A413" s="51"/>
      <c r="B413" s="51"/>
      <c r="C413" s="26" t="s">
        <v>467</v>
      </c>
    </row>
    <row r="414" spans="1:3" x14ac:dyDescent="0.25">
      <c r="A414" s="51"/>
      <c r="B414" s="51"/>
      <c r="C414" s="26" t="s">
        <v>516</v>
      </c>
    </row>
    <row r="415" spans="1:3" x14ac:dyDescent="0.25">
      <c r="A415" s="51"/>
      <c r="B415" s="51"/>
      <c r="C415" s="26" t="s">
        <v>334</v>
      </c>
    </row>
    <row r="416" spans="1:3" x14ac:dyDescent="0.25">
      <c r="A416" s="51"/>
      <c r="B416" s="51"/>
      <c r="C416" s="26" t="s">
        <v>355</v>
      </c>
    </row>
    <row r="417" spans="1:3" x14ac:dyDescent="0.25">
      <c r="A417" s="51"/>
      <c r="B417" s="51"/>
      <c r="C417" s="26" t="s">
        <v>485</v>
      </c>
    </row>
    <row r="418" spans="1:3" x14ac:dyDescent="0.25">
      <c r="A418" s="51"/>
      <c r="B418" s="51"/>
      <c r="C418" s="26" t="s">
        <v>358</v>
      </c>
    </row>
    <row r="419" spans="1:3" x14ac:dyDescent="0.25">
      <c r="A419" s="51"/>
      <c r="B419" s="51"/>
      <c r="C419" s="26" t="s">
        <v>486</v>
      </c>
    </row>
    <row r="420" spans="1:3" x14ac:dyDescent="0.25">
      <c r="A420" s="51"/>
      <c r="B420" s="51"/>
      <c r="C420" s="26" t="s">
        <v>487</v>
      </c>
    </row>
    <row r="421" spans="1:3" x14ac:dyDescent="0.25">
      <c r="A421" s="51"/>
      <c r="B421" s="51"/>
      <c r="C421" s="26" t="s">
        <v>488</v>
      </c>
    </row>
    <row r="422" spans="1:3" x14ac:dyDescent="0.25">
      <c r="A422" s="51"/>
      <c r="B422" s="51"/>
      <c r="C422" s="26" t="s">
        <v>489</v>
      </c>
    </row>
    <row r="423" spans="1:3" x14ac:dyDescent="0.25">
      <c r="A423" s="51"/>
      <c r="B423" s="51"/>
      <c r="C423" s="26" t="s">
        <v>490</v>
      </c>
    </row>
    <row r="424" spans="1:3" x14ac:dyDescent="0.25">
      <c r="A424" s="51"/>
      <c r="B424" s="51"/>
      <c r="C424" s="26" t="s">
        <v>358</v>
      </c>
    </row>
    <row r="425" spans="1:3" x14ac:dyDescent="0.25">
      <c r="A425" s="51"/>
      <c r="B425" s="51"/>
      <c r="C425" s="26" t="s">
        <v>517</v>
      </c>
    </row>
    <row r="426" spans="1:3" x14ac:dyDescent="0.25">
      <c r="A426" s="51"/>
      <c r="B426" s="51"/>
      <c r="C426" s="26" t="s">
        <v>518</v>
      </c>
    </row>
    <row r="427" spans="1:3" x14ac:dyDescent="0.25">
      <c r="A427" s="51"/>
      <c r="B427" s="51"/>
      <c r="C427" s="26" t="s">
        <v>519</v>
      </c>
    </row>
    <row r="428" spans="1:3" x14ac:dyDescent="0.25">
      <c r="A428" s="51"/>
      <c r="B428" s="51"/>
      <c r="C428" s="26" t="s">
        <v>520</v>
      </c>
    </row>
    <row r="429" spans="1:3" x14ac:dyDescent="0.25">
      <c r="A429" s="51"/>
      <c r="B429" s="51"/>
      <c r="C429" s="26" t="s">
        <v>521</v>
      </c>
    </row>
    <row r="430" spans="1:3" x14ac:dyDescent="0.25">
      <c r="A430" s="51"/>
      <c r="B430" s="51"/>
      <c r="C430" s="26" t="s">
        <v>358</v>
      </c>
    </row>
    <row r="431" spans="1:3" x14ac:dyDescent="0.25">
      <c r="A431" s="51"/>
      <c r="B431" s="51"/>
      <c r="C431" s="26" t="s">
        <v>551</v>
      </c>
    </row>
    <row r="432" spans="1:3" x14ac:dyDescent="0.25">
      <c r="A432" s="51"/>
      <c r="B432" s="51"/>
      <c r="C432" s="26" t="s">
        <v>552</v>
      </c>
    </row>
    <row r="433" spans="1:3" x14ac:dyDescent="0.25">
      <c r="A433" s="51"/>
      <c r="B433" s="51"/>
      <c r="C433" s="26" t="s">
        <v>553</v>
      </c>
    </row>
    <row r="434" spans="1:3" x14ac:dyDescent="0.25">
      <c r="A434" s="51"/>
      <c r="B434" s="51"/>
      <c r="C434" s="26" t="s">
        <v>554</v>
      </c>
    </row>
    <row r="435" spans="1:3" x14ac:dyDescent="0.25">
      <c r="A435" s="51"/>
      <c r="B435" s="51"/>
      <c r="C435" s="26" t="s">
        <v>358</v>
      </c>
    </row>
    <row r="436" spans="1:3" x14ac:dyDescent="0.25">
      <c r="A436" s="51"/>
      <c r="B436" s="51"/>
      <c r="C436" s="26" t="s">
        <v>555</v>
      </c>
    </row>
    <row r="437" spans="1:3" x14ac:dyDescent="0.25">
      <c r="A437" s="51"/>
      <c r="B437" s="51"/>
      <c r="C437" s="26" t="s">
        <v>556</v>
      </c>
    </row>
    <row r="438" spans="1:3" x14ac:dyDescent="0.25">
      <c r="A438" s="51"/>
      <c r="B438" s="51"/>
      <c r="C438" s="26" t="s">
        <v>557</v>
      </c>
    </row>
    <row r="439" spans="1:3" x14ac:dyDescent="0.25">
      <c r="A439" s="51"/>
      <c r="B439" s="51"/>
      <c r="C439" s="26" t="s">
        <v>558</v>
      </c>
    </row>
    <row r="440" spans="1:3" x14ac:dyDescent="0.25">
      <c r="A440" s="51"/>
      <c r="B440" s="51"/>
      <c r="C440" s="26" t="s">
        <v>559</v>
      </c>
    </row>
    <row r="441" spans="1:3" x14ac:dyDescent="0.25">
      <c r="A441" s="51"/>
      <c r="B441" s="51"/>
      <c r="C441" s="26" t="s">
        <v>560</v>
      </c>
    </row>
    <row r="442" spans="1:3" x14ac:dyDescent="0.25">
      <c r="A442" s="51"/>
      <c r="B442" s="51"/>
      <c r="C442" s="26" t="s">
        <v>561</v>
      </c>
    </row>
    <row r="443" spans="1:3" x14ac:dyDescent="0.25">
      <c r="A443" s="51"/>
      <c r="B443" s="51"/>
      <c r="C443" s="26" t="s">
        <v>562</v>
      </c>
    </row>
    <row r="444" spans="1:3" x14ac:dyDescent="0.25">
      <c r="A444" s="51"/>
      <c r="B444" s="51"/>
      <c r="C444" s="26" t="s">
        <v>358</v>
      </c>
    </row>
    <row r="445" spans="1:3" x14ac:dyDescent="0.25">
      <c r="A445" s="51"/>
      <c r="B445" s="51"/>
      <c r="C445" s="26" t="s">
        <v>563</v>
      </c>
    </row>
    <row r="446" spans="1:3" x14ac:dyDescent="0.25">
      <c r="A446" s="51"/>
      <c r="B446" s="51"/>
      <c r="C446" s="26" t="s">
        <v>564</v>
      </c>
    </row>
    <row r="447" spans="1:3" x14ac:dyDescent="0.25">
      <c r="A447" s="51"/>
      <c r="B447" s="51"/>
      <c r="C447" s="26" t="s">
        <v>565</v>
      </c>
    </row>
    <row r="448" spans="1:3" x14ac:dyDescent="0.25">
      <c r="A448" s="51"/>
      <c r="B448" s="51"/>
      <c r="C448" s="26" t="s">
        <v>559</v>
      </c>
    </row>
    <row r="449" spans="1:3" x14ac:dyDescent="0.25">
      <c r="A449" s="51"/>
      <c r="B449" s="51"/>
      <c r="C449" s="26" t="s">
        <v>566</v>
      </c>
    </row>
    <row r="450" spans="1:3" x14ac:dyDescent="0.25">
      <c r="A450" s="51"/>
      <c r="B450" s="51"/>
      <c r="C450" s="26" t="s">
        <v>567</v>
      </c>
    </row>
    <row r="451" spans="1:3" x14ac:dyDescent="0.25">
      <c r="A451" s="51"/>
      <c r="B451" s="51"/>
      <c r="C451" s="26" t="s">
        <v>358</v>
      </c>
    </row>
    <row r="452" spans="1:3" x14ac:dyDescent="0.25">
      <c r="A452" s="51"/>
      <c r="B452" s="51"/>
      <c r="C452" s="26" t="s">
        <v>568</v>
      </c>
    </row>
    <row r="453" spans="1:3" x14ac:dyDescent="0.25">
      <c r="A453" s="51"/>
      <c r="B453" s="51"/>
      <c r="C453" s="26" t="s">
        <v>569</v>
      </c>
    </row>
    <row r="454" spans="1:3" x14ac:dyDescent="0.25">
      <c r="A454" s="51"/>
      <c r="B454" s="51"/>
      <c r="C454" s="26" t="s">
        <v>570</v>
      </c>
    </row>
    <row r="455" spans="1:3" x14ac:dyDescent="0.25">
      <c r="A455" s="51"/>
      <c r="B455" s="51"/>
      <c r="C455" s="26" t="s">
        <v>559</v>
      </c>
    </row>
    <row r="456" spans="1:3" x14ac:dyDescent="0.25">
      <c r="A456" s="51"/>
      <c r="B456" s="51"/>
      <c r="C456" s="26" t="s">
        <v>566</v>
      </c>
    </row>
    <row r="457" spans="1:3" x14ac:dyDescent="0.25">
      <c r="A457" s="51"/>
      <c r="B457" s="51"/>
      <c r="C457" s="26" t="s">
        <v>567</v>
      </c>
    </row>
    <row r="458" spans="1:3" x14ac:dyDescent="0.25">
      <c r="A458" s="51"/>
      <c r="B458" s="51"/>
      <c r="C458" s="26" t="s">
        <v>358</v>
      </c>
    </row>
    <row r="459" spans="1:3" x14ac:dyDescent="0.25">
      <c r="A459" s="51"/>
      <c r="B459" s="51"/>
      <c r="C459" s="26" t="s">
        <v>571</v>
      </c>
    </row>
    <row r="460" spans="1:3" x14ac:dyDescent="0.25">
      <c r="A460" s="51"/>
      <c r="B460" s="51"/>
      <c r="C460" s="26" t="s">
        <v>572</v>
      </c>
    </row>
    <row r="461" spans="1:3" x14ac:dyDescent="0.25">
      <c r="A461" s="51"/>
      <c r="B461" s="51"/>
      <c r="C461" s="26" t="s">
        <v>573</v>
      </c>
    </row>
    <row r="462" spans="1:3" x14ac:dyDescent="0.25">
      <c r="A462" s="51"/>
      <c r="B462" s="51"/>
      <c r="C462" s="26" t="s">
        <v>574</v>
      </c>
    </row>
    <row r="463" spans="1:3" x14ac:dyDescent="0.25">
      <c r="A463" s="51"/>
      <c r="B463" s="51"/>
      <c r="C463" s="26" t="s">
        <v>358</v>
      </c>
    </row>
    <row r="464" spans="1:3" x14ac:dyDescent="0.25">
      <c r="A464" s="51"/>
      <c r="B464" s="51"/>
      <c r="C464" s="26" t="s">
        <v>335</v>
      </c>
    </row>
    <row r="465" spans="1:3" x14ac:dyDescent="0.25">
      <c r="A465" s="51"/>
      <c r="B465" s="51"/>
      <c r="C465" s="26" t="s">
        <v>522</v>
      </c>
    </row>
    <row r="466" spans="1:3" x14ac:dyDescent="0.25">
      <c r="A466" s="51"/>
      <c r="B466" s="51"/>
      <c r="C466" s="26" t="s">
        <v>523</v>
      </c>
    </row>
    <row r="467" spans="1:3" x14ac:dyDescent="0.25">
      <c r="A467" s="51"/>
      <c r="B467" s="51"/>
      <c r="C467" s="26" t="s">
        <v>338</v>
      </c>
    </row>
    <row r="468" spans="1:3" x14ac:dyDescent="0.25">
      <c r="A468" s="51"/>
      <c r="B468" s="51"/>
      <c r="C468" s="26" t="s">
        <v>498</v>
      </c>
    </row>
    <row r="469" spans="1:3" x14ac:dyDescent="0.25">
      <c r="A469" s="51"/>
      <c r="B469" s="51"/>
      <c r="C469" s="26" t="s">
        <v>499</v>
      </c>
    </row>
    <row r="470" spans="1:3" x14ac:dyDescent="0.25">
      <c r="A470" s="51"/>
      <c r="B470" s="51"/>
      <c r="C470" s="26" t="s">
        <v>524</v>
      </c>
    </row>
    <row r="471" spans="1:3" x14ac:dyDescent="0.25">
      <c r="A471" s="51"/>
      <c r="B471" s="51"/>
      <c r="C471" s="26" t="s">
        <v>575</v>
      </c>
    </row>
    <row r="472" spans="1:3" x14ac:dyDescent="0.25">
      <c r="A472" s="51"/>
      <c r="B472" s="51"/>
      <c r="C472" s="26" t="s">
        <v>576</v>
      </c>
    </row>
    <row r="473" spans="1:3" x14ac:dyDescent="0.25">
      <c r="A473" s="51"/>
      <c r="B473" s="51"/>
      <c r="C473" s="26" t="s">
        <v>577</v>
      </c>
    </row>
    <row r="474" spans="1:3" x14ac:dyDescent="0.25">
      <c r="A474" s="51"/>
      <c r="B474" s="51"/>
      <c r="C474" s="26" t="s">
        <v>578</v>
      </c>
    </row>
    <row r="475" spans="1:3" x14ac:dyDescent="0.25">
      <c r="A475" s="51"/>
      <c r="B475" s="51"/>
      <c r="C475" s="26" t="s">
        <v>579</v>
      </c>
    </row>
    <row r="476" spans="1:3" x14ac:dyDescent="0.25">
      <c r="A476" s="51"/>
      <c r="B476" s="51"/>
      <c r="C476" s="26" t="s">
        <v>580</v>
      </c>
    </row>
    <row r="477" spans="1:3" x14ac:dyDescent="0.25">
      <c r="A477" s="51"/>
      <c r="B477" s="51"/>
      <c r="C477" s="26" t="s">
        <v>340</v>
      </c>
    </row>
    <row r="478" spans="1:3" x14ac:dyDescent="0.25">
      <c r="A478" s="51"/>
      <c r="B478" s="51"/>
      <c r="C478" s="26" t="s">
        <v>581</v>
      </c>
    </row>
    <row r="479" spans="1:3" x14ac:dyDescent="0.25">
      <c r="A479" s="51"/>
      <c r="B479" s="51"/>
      <c r="C479" s="26" t="s">
        <v>433</v>
      </c>
    </row>
    <row r="480" spans="1:3" x14ac:dyDescent="0.25">
      <c r="A480" s="51"/>
      <c r="B480" s="51"/>
      <c r="C480" s="26" t="s">
        <v>582</v>
      </c>
    </row>
    <row r="481" spans="1:3" x14ac:dyDescent="0.25">
      <c r="A481" s="51"/>
      <c r="B481" s="51"/>
      <c r="C481" s="26" t="s">
        <v>583</v>
      </c>
    </row>
    <row r="482" spans="1:3" x14ac:dyDescent="0.25">
      <c r="A482" s="51"/>
      <c r="B482" s="51"/>
      <c r="C482" s="26"/>
    </row>
    <row r="483" spans="1:3" x14ac:dyDescent="0.25">
      <c r="A483" s="51"/>
      <c r="B483" s="51"/>
      <c r="C483" s="26" t="s">
        <v>584</v>
      </c>
    </row>
    <row r="484" spans="1:3" x14ac:dyDescent="0.25">
      <c r="A484" s="51"/>
      <c r="B484" s="51"/>
      <c r="C484" s="26" t="s">
        <v>433</v>
      </c>
    </row>
    <row r="485" spans="1:3" x14ac:dyDescent="0.25">
      <c r="A485" s="51"/>
      <c r="B485" s="51"/>
      <c r="C485" s="26" t="s">
        <v>585</v>
      </c>
    </row>
    <row r="486" spans="1:3" x14ac:dyDescent="0.25">
      <c r="A486" s="51"/>
      <c r="B486" s="51"/>
      <c r="C486" s="26" t="s">
        <v>586</v>
      </c>
    </row>
    <row r="487" spans="1:3" x14ac:dyDescent="0.25">
      <c r="A487" s="51"/>
      <c r="B487" s="51"/>
      <c r="C487" s="26" t="s">
        <v>587</v>
      </c>
    </row>
    <row r="488" spans="1:3" x14ac:dyDescent="0.25">
      <c r="A488" s="51"/>
      <c r="B488" s="51"/>
      <c r="C488" s="26" t="s">
        <v>588</v>
      </c>
    </row>
    <row r="489" spans="1:3" x14ac:dyDescent="0.25">
      <c r="A489" s="51"/>
      <c r="B489" s="51"/>
      <c r="C489" s="26"/>
    </row>
    <row r="490" spans="1:3" x14ac:dyDescent="0.25">
      <c r="A490" s="51"/>
      <c r="B490" s="51"/>
      <c r="C490" s="26" t="s">
        <v>589</v>
      </c>
    </row>
    <row r="491" spans="1:3" x14ac:dyDescent="0.25">
      <c r="A491" s="51"/>
      <c r="B491" s="51"/>
      <c r="C491" s="26" t="s">
        <v>590</v>
      </c>
    </row>
    <row r="492" spans="1:3" x14ac:dyDescent="0.25">
      <c r="A492" s="51"/>
      <c r="B492" s="51"/>
      <c r="C492" s="26" t="s">
        <v>591</v>
      </c>
    </row>
    <row r="493" spans="1:3" x14ac:dyDescent="0.25">
      <c r="A493" s="51"/>
      <c r="B493" s="51"/>
      <c r="C493" s="26" t="s">
        <v>592</v>
      </c>
    </row>
    <row r="494" spans="1:3" x14ac:dyDescent="0.25">
      <c r="A494" s="51"/>
      <c r="B494" s="51"/>
      <c r="C494" s="26" t="s">
        <v>593</v>
      </c>
    </row>
    <row r="495" spans="1:3" x14ac:dyDescent="0.25">
      <c r="A495" s="51"/>
      <c r="B495" s="51"/>
      <c r="C495" s="26" t="s">
        <v>594</v>
      </c>
    </row>
    <row r="496" spans="1:3" x14ac:dyDescent="0.25">
      <c r="A496" s="51"/>
      <c r="B496" s="51"/>
      <c r="C496" s="26" t="s">
        <v>595</v>
      </c>
    </row>
    <row r="497" spans="1:3" x14ac:dyDescent="0.25">
      <c r="A497" s="51"/>
      <c r="B497" s="51"/>
      <c r="C497" s="26" t="s">
        <v>596</v>
      </c>
    </row>
    <row r="498" spans="1:3" x14ac:dyDescent="0.25">
      <c r="A498" s="51"/>
      <c r="B498" s="51"/>
      <c r="C498" s="26" t="s">
        <v>587</v>
      </c>
    </row>
    <row r="499" spans="1:3" x14ac:dyDescent="0.25">
      <c r="A499" s="51"/>
      <c r="B499" s="51"/>
      <c r="C499" s="26" t="s">
        <v>588</v>
      </c>
    </row>
    <row r="500" spans="1:3" x14ac:dyDescent="0.25">
      <c r="A500" s="51"/>
      <c r="B500" s="51"/>
      <c r="C500" s="26"/>
    </row>
    <row r="501" spans="1:3" x14ac:dyDescent="0.25">
      <c r="A501" s="51"/>
      <c r="B501" s="51"/>
      <c r="C501" s="26" t="s">
        <v>597</v>
      </c>
    </row>
    <row r="502" spans="1:3" x14ac:dyDescent="0.25">
      <c r="A502" s="51"/>
      <c r="B502" s="51"/>
      <c r="C502" s="26" t="s">
        <v>598</v>
      </c>
    </row>
    <row r="503" spans="1:3" x14ac:dyDescent="0.25">
      <c r="A503" s="51"/>
      <c r="B503" s="51"/>
      <c r="C503" s="26" t="s">
        <v>599</v>
      </c>
    </row>
    <row r="504" spans="1:3" x14ac:dyDescent="0.25">
      <c r="A504" s="51"/>
      <c r="B504" s="51"/>
      <c r="C504" s="26" t="s">
        <v>600</v>
      </c>
    </row>
    <row r="505" spans="1:3" x14ac:dyDescent="0.25">
      <c r="A505" s="51"/>
      <c r="B505" s="51"/>
      <c r="C505" s="26" t="s">
        <v>601</v>
      </c>
    </row>
    <row r="506" spans="1:3" x14ac:dyDescent="0.25">
      <c r="A506" s="51"/>
      <c r="B506" s="51"/>
      <c r="C506" s="26" t="s">
        <v>411</v>
      </c>
    </row>
    <row r="507" spans="1:3" x14ac:dyDescent="0.25">
      <c r="A507" s="51"/>
      <c r="B507" s="51"/>
      <c r="C507" s="26" t="s">
        <v>602</v>
      </c>
    </row>
    <row r="508" spans="1:3" x14ac:dyDescent="0.25">
      <c r="A508" s="51"/>
      <c r="B508" s="51"/>
      <c r="C508" s="26" t="s">
        <v>603</v>
      </c>
    </row>
    <row r="509" spans="1:3" x14ac:dyDescent="0.25">
      <c r="A509" s="51"/>
      <c r="B509" s="51"/>
      <c r="C509" s="26" t="s">
        <v>604</v>
      </c>
    </row>
    <row r="510" spans="1:3" x14ac:dyDescent="0.25">
      <c r="A510" s="51"/>
      <c r="B510" s="51"/>
      <c r="C510" s="26" t="s">
        <v>605</v>
      </c>
    </row>
    <row r="511" spans="1:3" x14ac:dyDescent="0.25">
      <c r="A511" s="51"/>
      <c r="B511" s="51"/>
      <c r="C511" s="26" t="s">
        <v>588</v>
      </c>
    </row>
    <row r="512" spans="1:3" x14ac:dyDescent="0.25">
      <c r="A512" s="51"/>
      <c r="B512" s="51"/>
      <c r="C512" s="26"/>
    </row>
    <row r="513" spans="1:3" x14ac:dyDescent="0.25">
      <c r="A513" s="51"/>
      <c r="B513" s="51"/>
      <c r="C513" s="26" t="s">
        <v>606</v>
      </c>
    </row>
    <row r="514" spans="1:3" x14ac:dyDescent="0.25">
      <c r="A514" s="51"/>
      <c r="B514" s="51"/>
      <c r="C514" s="26" t="s">
        <v>607</v>
      </c>
    </row>
    <row r="515" spans="1:3" x14ac:dyDescent="0.25">
      <c r="A515" s="51"/>
      <c r="B515" s="51"/>
      <c r="C515" s="26" t="s">
        <v>587</v>
      </c>
    </row>
    <row r="516" spans="1:3" x14ac:dyDescent="0.25">
      <c r="A516" s="51"/>
      <c r="B516" s="51"/>
      <c r="C516" s="26" t="s">
        <v>588</v>
      </c>
    </row>
    <row r="517" spans="1:3" x14ac:dyDescent="0.25">
      <c r="A517" s="51"/>
      <c r="B517" s="51"/>
      <c r="C517" s="26"/>
    </row>
    <row r="518" spans="1:3" x14ac:dyDescent="0.25">
      <c r="A518" s="51"/>
      <c r="B518" s="51"/>
      <c r="C518" s="26" t="s">
        <v>608</v>
      </c>
    </row>
    <row r="519" spans="1:3" x14ac:dyDescent="0.25">
      <c r="A519" s="51"/>
      <c r="B519" s="51"/>
      <c r="C519" s="26" t="s">
        <v>609</v>
      </c>
    </row>
    <row r="520" spans="1:3" x14ac:dyDescent="0.25">
      <c r="A520" s="51"/>
      <c r="B520" s="51"/>
      <c r="C520" s="26" t="s">
        <v>610</v>
      </c>
    </row>
    <row r="521" spans="1:3" x14ac:dyDescent="0.25">
      <c r="A521" s="51"/>
      <c r="B521" s="51"/>
      <c r="C521" s="26" t="s">
        <v>611</v>
      </c>
    </row>
    <row r="522" spans="1:3" x14ac:dyDescent="0.25">
      <c r="A522" s="51"/>
      <c r="B522" s="51"/>
      <c r="C522" s="26" t="s">
        <v>612</v>
      </c>
    </row>
    <row r="523" spans="1:3" x14ac:dyDescent="0.25">
      <c r="A523" s="51"/>
      <c r="B523" s="51"/>
      <c r="C523" s="26" t="s">
        <v>613</v>
      </c>
    </row>
    <row r="524" spans="1:3" x14ac:dyDescent="0.25">
      <c r="A524" s="51"/>
      <c r="B524" s="51"/>
      <c r="C524" s="26" t="s">
        <v>607</v>
      </c>
    </row>
    <row r="525" spans="1:3" x14ac:dyDescent="0.25">
      <c r="A525" s="51"/>
      <c r="B525" s="51"/>
      <c r="C525" s="26" t="s">
        <v>587</v>
      </c>
    </row>
    <row r="526" spans="1:3" x14ac:dyDescent="0.25">
      <c r="A526" s="51"/>
      <c r="B526" s="51"/>
      <c r="C526" s="26" t="s">
        <v>588</v>
      </c>
    </row>
    <row r="527" spans="1:3" x14ac:dyDescent="0.25">
      <c r="A527" s="51"/>
      <c r="B527" s="51"/>
      <c r="C527" s="26" t="s">
        <v>614</v>
      </c>
    </row>
    <row r="528" spans="1:3" x14ac:dyDescent="0.25">
      <c r="A528" s="52"/>
      <c r="B528" s="52"/>
      <c r="C528" s="26" t="s">
        <v>615</v>
      </c>
    </row>
  </sheetData>
  <mergeCells count="13">
    <mergeCell ref="B69:B125"/>
    <mergeCell ref="A69:A125"/>
    <mergeCell ref="B126:B185"/>
    <mergeCell ref="A126:A185"/>
    <mergeCell ref="B186:B528"/>
    <mergeCell ref="A186:A528"/>
    <mergeCell ref="B29:B68"/>
    <mergeCell ref="A29:A68"/>
    <mergeCell ref="A1:B1"/>
    <mergeCell ref="B3:B16"/>
    <mergeCell ref="A3:A16"/>
    <mergeCell ref="B17:B28"/>
    <mergeCell ref="A17:A28"/>
  </mergeCells>
  <conditionalFormatting sqref="D3:H3">
    <cfRule type="expression" dxfId="28" priority="3">
      <formula>$H3="Done"</formula>
    </cfRule>
  </conditionalFormatting>
  <conditionalFormatting sqref="D4:H4">
    <cfRule type="expression" dxfId="27" priority="2">
      <formula>$H4="Done"</formula>
    </cfRule>
  </conditionalFormatting>
  <conditionalFormatting sqref="D5:H27">
    <cfRule type="expression" dxfId="26" priority="1">
      <formula>$H5="Done"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4"/>
  <sheetViews>
    <sheetView topLeftCell="D1" workbookViewId="0">
      <pane xSplit="2" ySplit="1" topLeftCell="F2" activePane="bottomRight" state="frozen"/>
      <selection activeCell="D1" sqref="D1"/>
      <selection pane="topRight" activeCell="F1" sqref="F1"/>
      <selection pane="bottomLeft" activeCell="D2" sqref="D2"/>
      <selection pane="bottomRight" activeCell="F25" sqref="F25"/>
    </sheetView>
  </sheetViews>
  <sheetFormatPr defaultRowHeight="15" x14ac:dyDescent="0.25"/>
  <cols>
    <col min="1" max="1" width="203.75" bestFit="1" customWidth="1"/>
    <col min="2" max="2" width="181" bestFit="1" customWidth="1"/>
    <col min="3" max="3" width="107.875" bestFit="1" customWidth="1"/>
    <col min="4" max="4" width="36.625" bestFit="1" customWidth="1"/>
    <col min="5" max="5" width="5.375" bestFit="1" customWidth="1"/>
    <col min="6" max="6" width="12.75" bestFit="1" customWidth="1"/>
    <col min="7" max="7" width="9.625" bestFit="1" customWidth="1"/>
    <col min="8" max="8" width="6.625" bestFit="1" customWidth="1"/>
    <col min="9" max="9" width="158.375" bestFit="1" customWidth="1"/>
    <col min="10" max="10" width="68.375" bestFit="1" customWidth="1"/>
  </cols>
  <sheetData>
    <row r="1" spans="1:10" ht="15.75" x14ac:dyDescent="0.25">
      <c r="A1" s="6" t="s">
        <v>9</v>
      </c>
      <c r="B1" s="6" t="s">
        <v>81</v>
      </c>
      <c r="C1" s="6" t="s">
        <v>84</v>
      </c>
      <c r="D1" s="6" t="s">
        <v>85</v>
      </c>
      <c r="E1" s="6" t="s">
        <v>10</v>
      </c>
      <c r="F1" s="6" t="s">
        <v>142</v>
      </c>
      <c r="G1" s="6" t="s">
        <v>143</v>
      </c>
      <c r="H1" s="6" t="s">
        <v>144</v>
      </c>
      <c r="I1" s="7" t="s">
        <v>11</v>
      </c>
      <c r="J1" s="14" t="s">
        <v>145</v>
      </c>
    </row>
    <row r="2" spans="1:10" x14ac:dyDescent="0.25">
      <c r="A2" s="8" t="s">
        <v>151</v>
      </c>
      <c r="B2" s="8" t="str">
        <f>[1]!GetFolder(A2)</f>
        <v>C:\Documents and Settings\DAG\My Documents\Visual Studio 2010\Projects\Console_Apps\CopyToShellFolder\CopyToShellFolder</v>
      </c>
      <c r="C2" s="8" t="str">
        <f>IF(LEN(B2)&gt;LEN(Visual_Studio_Source_Code),RIGHT(B2,LEN(B2)-LEN([1]!AddBackslash(Visual_Studio_Source_Code))),B2)</f>
        <v>Console_Apps\CopyToShellFolder\CopyToShellFolder</v>
      </c>
      <c r="D2" s="8" t="str">
        <f>[1]!GetFile(A2)</f>
        <v>Program.cs</v>
      </c>
      <c r="E2" s="12">
        <v>68</v>
      </c>
      <c r="F2" s="12" t="b">
        <f>NOT(ISERROR(FIND("ExceptionLogger",I2)))</f>
        <v>1</v>
      </c>
      <c r="G2" s="12"/>
      <c r="H2" s="12"/>
      <c r="I2" s="9" t="s">
        <v>152</v>
      </c>
      <c r="J2" s="15" t="str">
        <f t="shared" ref="J2:J65" si="0">C2</f>
        <v>Console_Apps\CopyToShellFolder\CopyToShellFolder</v>
      </c>
    </row>
    <row r="3" spans="1:10" x14ac:dyDescent="0.25">
      <c r="A3" s="10" t="s">
        <v>151</v>
      </c>
      <c r="B3" s="10" t="str">
        <f>[1]!GetFolder(A3)</f>
        <v>C:\Documents and Settings\DAG\My Documents\Visual Studio 2010\Projects\Console_Apps\CopyToShellFolder\CopyToShellFolder</v>
      </c>
      <c r="C3" s="10" t="str">
        <f>IF(LEN(B3)&gt;LEN(Visual_Studio_Source_Code),RIGHT(B3,LEN(B3)-LEN([1]!AddBackslash(Visual_Studio_Source_Code))),B3)</f>
        <v>Console_Apps\CopyToShellFolder\CopyToShellFolder</v>
      </c>
      <c r="D3" s="10" t="str">
        <f>[1]!GetFile(A3)</f>
        <v>Program.cs</v>
      </c>
      <c r="E3" s="13">
        <v>77</v>
      </c>
      <c r="F3" s="13" t="b">
        <f>NOT(ISERROR(FIND("ExceptionLogger",I3)))</f>
        <v>1</v>
      </c>
      <c r="G3" s="13"/>
      <c r="H3" s="13"/>
      <c r="I3" s="11" t="s">
        <v>153</v>
      </c>
      <c r="J3" s="16" t="str">
        <f t="shared" si="0"/>
        <v>Console_Apps\CopyToShellFolder\CopyToShellFolder</v>
      </c>
    </row>
    <row r="4" spans="1:10" x14ac:dyDescent="0.25">
      <c r="A4" s="10" t="s">
        <v>151</v>
      </c>
      <c r="B4" s="10" t="str">
        <f>[1]!GetFolder(A4)</f>
        <v>C:\Documents and Settings\DAG\My Documents\Visual Studio 2010\Projects\Console_Apps\CopyToShellFolder\CopyToShellFolder</v>
      </c>
      <c r="C4" s="10" t="str">
        <f>IF(LEN(B4)&gt;LEN(Visual_Studio_Source_Code),RIGHT(B4,LEN(B4)-LEN([1]!AddBackslash(Visual_Studio_Source_Code))),B4)</f>
        <v>Console_Apps\CopyToShellFolder\CopyToShellFolder</v>
      </c>
      <c r="D4" s="10" t="str">
        <f>[1]!GetFile(A4)</f>
        <v>Program.cs</v>
      </c>
      <c r="E4" s="13">
        <v>78</v>
      </c>
      <c r="F4" s="13" t="b">
        <f t="shared" ref="F4:F67" si="1">NOT(ISERROR(FIND("ExceptionLogger",I4)))</f>
        <v>1</v>
      </c>
      <c r="G4" s="13"/>
      <c r="H4" s="13"/>
      <c r="I4" s="11" t="s">
        <v>154</v>
      </c>
      <c r="J4" s="16" t="str">
        <f t="shared" si="0"/>
        <v>Console_Apps\CopyToShellFolder\CopyToShellFolder</v>
      </c>
    </row>
    <row r="5" spans="1:10" x14ac:dyDescent="0.25">
      <c r="A5" s="10" t="s">
        <v>151</v>
      </c>
      <c r="B5" s="10" t="str">
        <f>[1]!GetFolder(A5)</f>
        <v>C:\Documents and Settings\DAG\My Documents\Visual Studio 2010\Projects\Console_Apps\CopyToShellFolder\CopyToShellFolder</v>
      </c>
      <c r="C5" s="10" t="str">
        <f>IF(LEN(B5)&gt;LEN(Visual_Studio_Source_Code),RIGHT(B5,LEN(B5)-LEN([1]!AddBackslash(Visual_Studio_Source_Code))),B5)</f>
        <v>Console_Apps\CopyToShellFolder\CopyToShellFolder</v>
      </c>
      <c r="D5" s="10" t="str">
        <f>[1]!GetFile(A5)</f>
        <v>Program.cs</v>
      </c>
      <c r="E5" s="13">
        <v>166</v>
      </c>
      <c r="F5" s="13" t="b">
        <f t="shared" si="1"/>
        <v>1</v>
      </c>
      <c r="G5" s="13"/>
      <c r="H5" s="13"/>
      <c r="I5" s="11" t="s">
        <v>155</v>
      </c>
      <c r="J5" s="16" t="str">
        <f t="shared" si="0"/>
        <v>Console_Apps\CopyToShellFolder\CopyToShellFolder</v>
      </c>
    </row>
    <row r="6" spans="1:10" x14ac:dyDescent="0.25">
      <c r="A6" s="10" t="s">
        <v>156</v>
      </c>
      <c r="B6" s="10" t="str">
        <f>[1]!GetFolder(A6)</f>
        <v>C:\Documents and Settings\DAG\My Documents\Visual Studio 2010\Projects\Console_Apps\Date2FN\Date2FN</v>
      </c>
      <c r="C6" s="10" t="str">
        <f>IF(LEN(B6)&gt;LEN(Visual_Studio_Source_Code),RIGHT(B6,LEN(B6)-LEN([1]!AddBackslash(Visual_Studio_Source_Code))),B6)</f>
        <v>Console_Apps\Date2FN\Date2FN</v>
      </c>
      <c r="D6" s="10" t="str">
        <f>[1]!GetFile(A6)</f>
        <v>Program.cs</v>
      </c>
      <c r="E6" s="13">
        <v>154</v>
      </c>
      <c r="F6" s="13" t="b">
        <f t="shared" si="1"/>
        <v>1</v>
      </c>
      <c r="G6" s="13"/>
      <c r="H6" s="13"/>
      <c r="I6" s="11" t="s">
        <v>157</v>
      </c>
      <c r="J6" s="16" t="str">
        <f t="shared" si="0"/>
        <v>Console_Apps\Date2FN\Date2FN</v>
      </c>
    </row>
    <row r="7" spans="1:10" x14ac:dyDescent="0.25">
      <c r="A7" s="10" t="s">
        <v>156</v>
      </c>
      <c r="B7" s="10" t="str">
        <f>[1]!GetFolder(A7)</f>
        <v>C:\Documents and Settings\DAG\My Documents\Visual Studio 2010\Projects\Console_Apps\Date2FN\Date2FN</v>
      </c>
      <c r="C7" s="10" t="str">
        <f>IF(LEN(B7)&gt;LEN(Visual_Studio_Source_Code),RIGHT(B7,LEN(B7)-LEN([1]!AddBackslash(Visual_Studio_Source_Code))),B7)</f>
        <v>Console_Apps\Date2FN\Date2FN</v>
      </c>
      <c r="D7" s="10" t="str">
        <f>[1]!GetFile(A7)</f>
        <v>Program.cs</v>
      </c>
      <c r="E7" s="13">
        <v>156</v>
      </c>
      <c r="F7" s="13" t="b">
        <f t="shared" si="1"/>
        <v>1</v>
      </c>
      <c r="G7" s="13"/>
      <c r="H7" s="13"/>
      <c r="I7" s="11" t="s">
        <v>158</v>
      </c>
      <c r="J7" s="16" t="str">
        <f t="shared" si="0"/>
        <v>Console_Apps\Date2FN\Date2FN</v>
      </c>
    </row>
    <row r="8" spans="1:10" x14ac:dyDescent="0.25">
      <c r="A8" s="10" t="s">
        <v>156</v>
      </c>
      <c r="B8" s="10" t="str">
        <f>[1]!GetFolder(A8)</f>
        <v>C:\Documents and Settings\DAG\My Documents\Visual Studio 2010\Projects\Console_Apps\Date2FN\Date2FN</v>
      </c>
      <c r="C8" s="10" t="str">
        <f>IF(LEN(B8)&gt;LEN(Visual_Studio_Source_Code),RIGHT(B8,LEN(B8)-LEN([1]!AddBackslash(Visual_Studio_Source_Code))),B8)</f>
        <v>Console_Apps\Date2FN\Date2FN</v>
      </c>
      <c r="D8" s="10" t="str">
        <f>[1]!GetFile(A8)</f>
        <v>Program.cs</v>
      </c>
      <c r="E8" s="13">
        <v>157</v>
      </c>
      <c r="F8" s="13" t="b">
        <f t="shared" si="1"/>
        <v>1</v>
      </c>
      <c r="G8" s="13"/>
      <c r="H8" s="13"/>
      <c r="I8" s="11" t="s">
        <v>159</v>
      </c>
      <c r="J8" s="16" t="str">
        <f t="shared" si="0"/>
        <v>Console_Apps\Date2FN\Date2FN</v>
      </c>
    </row>
    <row r="9" spans="1:10" x14ac:dyDescent="0.25">
      <c r="A9" s="10" t="s">
        <v>156</v>
      </c>
      <c r="B9" s="10" t="str">
        <f>[1]!GetFolder(A9)</f>
        <v>C:\Documents and Settings\DAG\My Documents\Visual Studio 2010\Projects\Console_Apps\Date2FN\Date2FN</v>
      </c>
      <c r="C9" s="10" t="str">
        <f>IF(LEN(B9)&gt;LEN(Visual_Studio_Source_Code),RIGHT(B9,LEN(B9)-LEN([1]!AddBackslash(Visual_Studio_Source_Code))),B9)</f>
        <v>Console_Apps\Date2FN\Date2FN</v>
      </c>
      <c r="D9" s="10" t="str">
        <f>[1]!GetFile(A9)</f>
        <v>Program.cs</v>
      </c>
      <c r="E9" s="13">
        <v>170</v>
      </c>
      <c r="F9" s="13" t="b">
        <f t="shared" si="1"/>
        <v>1</v>
      </c>
      <c r="G9" s="13"/>
      <c r="H9" s="13"/>
      <c r="I9" s="11" t="s">
        <v>160</v>
      </c>
      <c r="J9" s="16" t="str">
        <f t="shared" si="0"/>
        <v>Console_Apps\Date2FN\Date2FN</v>
      </c>
    </row>
    <row r="10" spans="1:10" x14ac:dyDescent="0.25">
      <c r="A10" s="10" t="s">
        <v>156</v>
      </c>
      <c r="B10" s="10" t="str">
        <f>[1]!GetFolder(A10)</f>
        <v>C:\Documents and Settings\DAG\My Documents\Visual Studio 2010\Projects\Console_Apps\Date2FN\Date2FN</v>
      </c>
      <c r="C10" s="10" t="str">
        <f>IF(LEN(B10)&gt;LEN(Visual_Studio_Source_Code),RIGHT(B10,LEN(B10)-LEN([1]!AddBackslash(Visual_Studio_Source_Code))),B10)</f>
        <v>Console_Apps\Date2FN\Date2FN</v>
      </c>
      <c r="D10" s="10" t="str">
        <f>[1]!GetFile(A10)</f>
        <v>Program.cs</v>
      </c>
      <c r="E10" s="13">
        <v>174</v>
      </c>
      <c r="F10" s="13" t="b">
        <f t="shared" si="1"/>
        <v>1</v>
      </c>
      <c r="G10" s="13"/>
      <c r="H10" s="13"/>
      <c r="I10" s="11" t="s">
        <v>161</v>
      </c>
      <c r="J10" s="16" t="str">
        <f t="shared" si="0"/>
        <v>Console_Apps\Date2FN\Date2FN</v>
      </c>
    </row>
    <row r="11" spans="1:10" x14ac:dyDescent="0.25">
      <c r="A11" s="10" t="s">
        <v>156</v>
      </c>
      <c r="B11" s="10" t="str">
        <f>[1]!GetFolder(A11)</f>
        <v>C:\Documents and Settings\DAG\My Documents\Visual Studio 2010\Projects\Console_Apps\Date2FN\Date2FN</v>
      </c>
      <c r="C11" s="10" t="str">
        <f>IF(LEN(B11)&gt;LEN(Visual_Studio_Source_Code),RIGHT(B11,LEN(B11)-LEN([1]!AddBackslash(Visual_Studio_Source_Code))),B11)</f>
        <v>Console_Apps\Date2FN\Date2FN</v>
      </c>
      <c r="D11" s="10" t="str">
        <f>[1]!GetFile(A11)</f>
        <v>Program.cs</v>
      </c>
      <c r="E11" s="13">
        <v>545</v>
      </c>
      <c r="F11" s="13" t="b">
        <f t="shared" si="1"/>
        <v>1</v>
      </c>
      <c r="G11" s="13"/>
      <c r="H11" s="13"/>
      <c r="I11" s="11" t="s">
        <v>157</v>
      </c>
      <c r="J11" s="16" t="str">
        <f t="shared" si="0"/>
        <v>Console_Apps\Date2FN\Date2FN</v>
      </c>
    </row>
    <row r="12" spans="1:10" x14ac:dyDescent="0.25">
      <c r="A12" s="10" t="s">
        <v>156</v>
      </c>
      <c r="B12" s="10" t="str">
        <f>[1]!GetFolder(A12)</f>
        <v>C:\Documents and Settings\DAG\My Documents\Visual Studio 2010\Projects\Console_Apps\Date2FN\Date2FN</v>
      </c>
      <c r="C12" s="10" t="str">
        <f>IF(LEN(B12)&gt;LEN(Visual_Studio_Source_Code),RIGHT(B12,LEN(B12)-LEN([1]!AddBackslash(Visual_Studio_Source_Code))),B12)</f>
        <v>Console_Apps\Date2FN\Date2FN</v>
      </c>
      <c r="D12" s="10" t="str">
        <f>[1]!GetFile(A12)</f>
        <v>Program.cs</v>
      </c>
      <c r="E12" s="13">
        <v>687</v>
      </c>
      <c r="F12" s="13" t="b">
        <f t="shared" si="1"/>
        <v>1</v>
      </c>
      <c r="G12" s="13"/>
      <c r="H12" s="13"/>
      <c r="I12" s="11" t="s">
        <v>162</v>
      </c>
      <c r="J12" s="16" t="str">
        <f t="shared" si="0"/>
        <v>Console_Apps\Date2FN\Date2FN</v>
      </c>
    </row>
    <row r="13" spans="1:10" x14ac:dyDescent="0.25">
      <c r="A13" s="10" t="s">
        <v>163</v>
      </c>
      <c r="B13" s="10" t="str">
        <f>[1]!GetFolder(A13)</f>
        <v>C:\Documents and Settings\DAG\My Documents\Visual Studio 2010\Projects\Console_Apps\EventLogConfigurator\EventLogConfigurator</v>
      </c>
      <c r="C13" s="10" t="str">
        <f>IF(LEN(B13)&gt;LEN(Visual_Studio_Source_Code),RIGHT(B13,LEN(B13)-LEN([1]!AddBackslash(Visual_Studio_Source_Code))),B13)</f>
        <v>Console_Apps\EventLogConfigurator\EventLogConfigurator</v>
      </c>
      <c r="D13" s="10" t="str">
        <f>[1]!GetFile(A13)</f>
        <v>Program.cs</v>
      </c>
      <c r="E13" s="13">
        <v>101</v>
      </c>
      <c r="F13" s="13" t="b">
        <f t="shared" si="1"/>
        <v>1</v>
      </c>
      <c r="G13" s="13"/>
      <c r="H13" s="13"/>
      <c r="I13" s="11" t="s">
        <v>164</v>
      </c>
      <c r="J13" s="16" t="str">
        <f t="shared" si="0"/>
        <v>Console_Apps\EventLogConfigurator\EventLogConfigurator</v>
      </c>
    </row>
    <row r="14" spans="1:10" x14ac:dyDescent="0.25">
      <c r="A14" s="10" t="s">
        <v>163</v>
      </c>
      <c r="B14" s="10" t="str">
        <f>[1]!GetFolder(A14)</f>
        <v>C:\Documents and Settings\DAG\My Documents\Visual Studio 2010\Projects\Console_Apps\EventLogConfigurator\EventLogConfigurator</v>
      </c>
      <c r="C14" s="10" t="str">
        <f>IF(LEN(B14)&gt;LEN(Visual_Studio_Source_Code),RIGHT(B14,LEN(B14)-LEN([1]!AddBackslash(Visual_Studio_Source_Code))),B14)</f>
        <v>Console_Apps\EventLogConfigurator\EventLogConfigurator</v>
      </c>
      <c r="D14" s="10" t="str">
        <f>[1]!GetFile(A14)</f>
        <v>Program.cs</v>
      </c>
      <c r="E14" s="13">
        <v>102</v>
      </c>
      <c r="F14" s="13" t="b">
        <f t="shared" si="1"/>
        <v>1</v>
      </c>
      <c r="G14" s="13"/>
      <c r="H14" s="13"/>
      <c r="I14" s="11" t="s">
        <v>165</v>
      </c>
      <c r="J14" s="16" t="str">
        <f t="shared" si="0"/>
        <v>Console_Apps\EventLogConfigurator\EventLogConfigurator</v>
      </c>
    </row>
    <row r="15" spans="1:10" x14ac:dyDescent="0.25">
      <c r="A15" s="10" t="s">
        <v>163</v>
      </c>
      <c r="B15" s="10" t="str">
        <f>[1]!GetFolder(A15)</f>
        <v>C:\Documents and Settings\DAG\My Documents\Visual Studio 2010\Projects\Console_Apps\EventLogConfigurator\EventLogConfigurator</v>
      </c>
      <c r="C15" s="10" t="str">
        <f>IF(LEN(B15)&gt;LEN(Visual_Studio_Source_Code),RIGHT(B15,LEN(B15)-LEN([1]!AddBackslash(Visual_Studio_Source_Code))),B15)</f>
        <v>Console_Apps\EventLogConfigurator\EventLogConfigurator</v>
      </c>
      <c r="D15" s="10" t="str">
        <f>[1]!GetFile(A15)</f>
        <v>Program.cs</v>
      </c>
      <c r="E15" s="13">
        <v>126</v>
      </c>
      <c r="F15" s="13" t="b">
        <f t="shared" si="1"/>
        <v>1</v>
      </c>
      <c r="G15" s="13"/>
      <c r="H15" s="13"/>
      <c r="I15" s="11" t="s">
        <v>162</v>
      </c>
      <c r="J15" s="16" t="str">
        <f t="shared" si="0"/>
        <v>Console_Apps\EventLogConfigurator\EventLogConfigurator</v>
      </c>
    </row>
    <row r="16" spans="1:10" x14ac:dyDescent="0.25">
      <c r="A16" s="10" t="s">
        <v>163</v>
      </c>
      <c r="B16" s="10" t="str">
        <f>[1]!GetFolder(A16)</f>
        <v>C:\Documents and Settings\DAG\My Documents\Visual Studio 2010\Projects\Console_Apps\EventLogConfigurator\EventLogConfigurator</v>
      </c>
      <c r="C16" s="10" t="str">
        <f>IF(LEN(B16)&gt;LEN(Visual_Studio_Source_Code),RIGHT(B16,LEN(B16)-LEN([1]!AddBackslash(Visual_Studio_Source_Code))),B16)</f>
        <v>Console_Apps\EventLogConfigurator\EventLogConfigurator</v>
      </c>
      <c r="D16" s="10" t="str">
        <f>[1]!GetFile(A16)</f>
        <v>Program.cs</v>
      </c>
      <c r="E16" s="13">
        <v>217</v>
      </c>
      <c r="F16" s="13" t="b">
        <f t="shared" si="1"/>
        <v>1</v>
      </c>
      <c r="G16" s="13"/>
      <c r="H16" s="13"/>
      <c r="I16" s="11" t="s">
        <v>162</v>
      </c>
      <c r="J16" s="16" t="str">
        <f t="shared" si="0"/>
        <v>Console_Apps\EventLogConfigurator\EventLogConfigurator</v>
      </c>
    </row>
    <row r="17" spans="1:10" x14ac:dyDescent="0.25">
      <c r="A17" s="10" t="s">
        <v>166</v>
      </c>
      <c r="B17" s="10" t="str">
        <f>[1]!GetFolder(A17)</f>
        <v>C:\Documents and Settings\DAG\My Documents\Visual Studio 2010\Projects\Console_Apps\NFiles\NFiles</v>
      </c>
      <c r="C17" s="10" t="str">
        <f>IF(LEN(B17)&gt;LEN(Visual_Studio_Source_Code),RIGHT(B17,LEN(B17)-LEN([1]!AddBackslash(Visual_Studio_Source_Code))),B17)</f>
        <v>Console_Apps\NFiles\NFiles</v>
      </c>
      <c r="D17" s="10" t="str">
        <f>[1]!GetFile(A17)</f>
        <v>Program.cs</v>
      </c>
      <c r="E17" s="13">
        <v>174</v>
      </c>
      <c r="F17" s="13" t="b">
        <f t="shared" si="1"/>
        <v>1</v>
      </c>
      <c r="G17" s="13"/>
      <c r="H17" s="13"/>
      <c r="I17" s="11" t="s">
        <v>154</v>
      </c>
      <c r="J17" s="16" t="str">
        <f t="shared" si="0"/>
        <v>Console_Apps\NFiles\NFiles</v>
      </c>
    </row>
    <row r="18" spans="1:10" x14ac:dyDescent="0.25">
      <c r="A18" s="10" t="s">
        <v>166</v>
      </c>
      <c r="B18" s="10" t="str">
        <f>[1]!GetFolder(A18)</f>
        <v>C:\Documents and Settings\DAG\My Documents\Visual Studio 2010\Projects\Console_Apps\NFiles\NFiles</v>
      </c>
      <c r="C18" s="10" t="str">
        <f>IF(LEN(B18)&gt;LEN(Visual_Studio_Source_Code),RIGHT(B18,LEN(B18)-LEN([1]!AddBackslash(Visual_Studio_Source_Code))),B18)</f>
        <v>Console_Apps\NFiles\NFiles</v>
      </c>
      <c r="D18" s="10" t="str">
        <f>[1]!GetFile(A18)</f>
        <v>Program.cs</v>
      </c>
      <c r="E18" s="13">
        <v>175</v>
      </c>
      <c r="F18" s="13" t="b">
        <f t="shared" si="1"/>
        <v>1</v>
      </c>
      <c r="G18" s="13"/>
      <c r="H18" s="13"/>
      <c r="I18" s="11" t="s">
        <v>167</v>
      </c>
      <c r="J18" s="16" t="str">
        <f t="shared" si="0"/>
        <v>Console_Apps\NFiles\NFiles</v>
      </c>
    </row>
    <row r="19" spans="1:10" x14ac:dyDescent="0.25">
      <c r="A19" s="10" t="s">
        <v>166</v>
      </c>
      <c r="B19" s="10" t="str">
        <f>[1]!GetFolder(A19)</f>
        <v>C:\Documents and Settings\DAG\My Documents\Visual Studio 2010\Projects\Console_Apps\NFiles\NFiles</v>
      </c>
      <c r="C19" s="10" t="str">
        <f>IF(LEN(B19)&gt;LEN(Visual_Studio_Source_Code),RIGHT(B19,LEN(B19)-LEN([1]!AddBackslash(Visual_Studio_Source_Code))),B19)</f>
        <v>Console_Apps\NFiles\NFiles</v>
      </c>
      <c r="D19" s="10" t="str">
        <f>[1]!GetFile(A19)</f>
        <v>Program.cs</v>
      </c>
      <c r="E19" s="13">
        <v>214</v>
      </c>
      <c r="F19" s="13" t="b">
        <f t="shared" si="1"/>
        <v>1</v>
      </c>
      <c r="G19" s="13"/>
      <c r="H19" s="13"/>
      <c r="I19" s="11" t="s">
        <v>155</v>
      </c>
      <c r="J19" s="16" t="str">
        <f t="shared" si="0"/>
        <v>Console_Apps\NFiles\NFiles</v>
      </c>
    </row>
    <row r="20" spans="1:10" x14ac:dyDescent="0.25">
      <c r="A20" s="10" t="s">
        <v>168</v>
      </c>
      <c r="B20" s="10" t="str">
        <f>[1]!GetFolder(A20)</f>
        <v>C:\Documents and Settings\DAG\My Documents\Visual Studio 2010\Projects\Console_Apps\NFiles\NFiles</v>
      </c>
      <c r="C20" s="10" t="str">
        <f>IF(LEN(B20)&gt;LEN(Visual_Studio_Source_Code),RIGHT(B20,LEN(B20)-LEN([1]!AddBackslash(Visual_Studio_Source_Code))),B20)</f>
        <v>Console_Apps\NFiles\NFiles</v>
      </c>
      <c r="D20" s="10" t="str">
        <f>[1]!GetFile(A20)</f>
        <v>ProgramParameters.cs</v>
      </c>
      <c r="E20" s="13">
        <v>438</v>
      </c>
      <c r="F20" s="13" t="b">
        <f t="shared" si="1"/>
        <v>1</v>
      </c>
      <c r="G20" s="13"/>
      <c r="H20" s="13"/>
      <c r="I20" s="11" t="s">
        <v>169</v>
      </c>
      <c r="J20" s="16" t="str">
        <f t="shared" si="0"/>
        <v>Console_Apps\NFiles\NFiles</v>
      </c>
    </row>
    <row r="21" spans="1:10" x14ac:dyDescent="0.25">
      <c r="A21" s="10" t="s">
        <v>168</v>
      </c>
      <c r="B21" s="10" t="str">
        <f>[1]!GetFolder(A21)</f>
        <v>C:\Documents and Settings\DAG\My Documents\Visual Studio 2010\Projects\Console_Apps\NFiles\NFiles</v>
      </c>
      <c r="C21" s="10" t="str">
        <f>IF(LEN(B21)&gt;LEN(Visual_Studio_Source_Code),RIGHT(B21,LEN(B21)-LEN([1]!AddBackslash(Visual_Studio_Source_Code))),B21)</f>
        <v>Console_Apps\NFiles\NFiles</v>
      </c>
      <c r="D21" s="10" t="str">
        <f>[1]!GetFile(A21)</f>
        <v>ProgramParameters.cs</v>
      </c>
      <c r="E21" s="13">
        <v>439</v>
      </c>
      <c r="F21" s="13" t="b">
        <f t="shared" si="1"/>
        <v>1</v>
      </c>
      <c r="G21" s="13"/>
      <c r="H21" s="13"/>
      <c r="I21" s="11" t="s">
        <v>170</v>
      </c>
      <c r="J21" s="16" t="str">
        <f t="shared" si="0"/>
        <v>Console_Apps\NFiles\NFiles</v>
      </c>
    </row>
    <row r="22" spans="1:10" x14ac:dyDescent="0.25">
      <c r="A22" s="10" t="s">
        <v>168</v>
      </c>
      <c r="B22" s="10" t="str">
        <f>[1]!GetFolder(A22)</f>
        <v>C:\Documents and Settings\DAG\My Documents\Visual Studio 2010\Projects\Console_Apps\NFiles\NFiles</v>
      </c>
      <c r="C22" s="10" t="str">
        <f>IF(LEN(B22)&gt;LEN(Visual_Studio_Source_Code),RIGHT(B22,LEN(B22)-LEN([1]!AddBackslash(Visual_Studio_Source_Code))),B22)</f>
        <v>Console_Apps\NFiles\NFiles</v>
      </c>
      <c r="D22" s="10" t="str">
        <f>[1]!GetFile(A22)</f>
        <v>ProgramParameters.cs</v>
      </c>
      <c r="E22" s="13">
        <v>440</v>
      </c>
      <c r="F22" s="13" t="b">
        <f t="shared" si="1"/>
        <v>1</v>
      </c>
      <c r="G22" s="13"/>
      <c r="H22" s="13"/>
      <c r="I22" s="11" t="s">
        <v>171</v>
      </c>
      <c r="J22" s="16" t="str">
        <f t="shared" si="0"/>
        <v>Console_Apps\NFiles\NFiles</v>
      </c>
    </row>
    <row r="23" spans="1:10" x14ac:dyDescent="0.25">
      <c r="A23" s="10" t="s">
        <v>168</v>
      </c>
      <c r="B23" s="10" t="str">
        <f>[1]!GetFolder(A23)</f>
        <v>C:\Documents and Settings\DAG\My Documents\Visual Studio 2010\Projects\Console_Apps\NFiles\NFiles</v>
      </c>
      <c r="C23" s="10" t="str">
        <f>IF(LEN(B23)&gt;LEN(Visual_Studio_Source_Code),RIGHT(B23,LEN(B23)-LEN([1]!AddBackslash(Visual_Studio_Source_Code))),B23)</f>
        <v>Console_Apps\NFiles\NFiles</v>
      </c>
      <c r="D23" s="10" t="str">
        <f>[1]!GetFile(A23)</f>
        <v>ProgramParameters.cs</v>
      </c>
      <c r="E23" s="13">
        <v>443</v>
      </c>
      <c r="F23" s="13" t="b">
        <f t="shared" si="1"/>
        <v>1</v>
      </c>
      <c r="G23" s="13"/>
      <c r="H23" s="13"/>
      <c r="I23" s="11" t="s">
        <v>172</v>
      </c>
      <c r="J23" s="16" t="str">
        <f t="shared" si="0"/>
        <v>Console_Apps\NFiles\NFiles</v>
      </c>
    </row>
    <row r="24" spans="1:10" x14ac:dyDescent="0.25">
      <c r="A24" s="10" t="s">
        <v>173</v>
      </c>
      <c r="B24" s="10" t="str">
        <f>[1]!GetFolder(A24)</f>
        <v>C:\Documents and Settings\DAG\My Documents\Visual Studio 2010\Projects\Console_Apps\SchTasksDotNet\SchTasksDotNet</v>
      </c>
      <c r="C24" s="10" t="str">
        <f>IF(LEN(B24)&gt;LEN(Visual_Studio_Source_Code),RIGHT(B24,LEN(B24)-LEN([1]!AddBackslash(Visual_Studio_Source_Code))),B24)</f>
        <v>Console_Apps\SchTasksDotNet\SchTasksDotNet</v>
      </c>
      <c r="D24" s="10" t="str">
        <f>[1]!GetFile(A24)</f>
        <v>Program.cs</v>
      </c>
      <c r="E24" s="13">
        <v>115</v>
      </c>
      <c r="F24" s="13" t="b">
        <f t="shared" si="1"/>
        <v>1</v>
      </c>
      <c r="G24" s="13"/>
      <c r="H24" s="13"/>
      <c r="I24" s="11" t="s">
        <v>164</v>
      </c>
      <c r="J24" s="16" t="str">
        <f t="shared" si="0"/>
        <v>Console_Apps\SchTasksDotNet\SchTasksDotNet</v>
      </c>
    </row>
    <row r="25" spans="1:10" x14ac:dyDescent="0.25">
      <c r="A25" s="10" t="s">
        <v>173</v>
      </c>
      <c r="B25" s="10" t="str">
        <f>[1]!GetFolder(A25)</f>
        <v>C:\Documents and Settings\DAG\My Documents\Visual Studio 2010\Projects\Console_Apps\SchTasksDotNet\SchTasksDotNet</v>
      </c>
      <c r="C25" s="10" t="str">
        <f>IF(LEN(B25)&gt;LEN(Visual_Studio_Source_Code),RIGHT(B25,LEN(B25)-LEN([1]!AddBackslash(Visual_Studio_Source_Code))),B25)</f>
        <v>Console_Apps\SchTasksDotNet\SchTasksDotNet</v>
      </c>
      <c r="D25" s="10" t="str">
        <f>[1]!GetFile(A25)</f>
        <v>Program.cs</v>
      </c>
      <c r="E25" s="13">
        <v>116</v>
      </c>
      <c r="F25" s="13" t="b">
        <f t="shared" si="1"/>
        <v>1</v>
      </c>
      <c r="G25" s="13"/>
      <c r="H25" s="13"/>
      <c r="I25" s="11" t="s">
        <v>165</v>
      </c>
      <c r="J25" s="16" t="str">
        <f t="shared" si="0"/>
        <v>Console_Apps\SchTasksDotNet\SchTasksDotNet</v>
      </c>
    </row>
    <row r="26" spans="1:10" x14ac:dyDescent="0.25">
      <c r="A26" s="10" t="s">
        <v>173</v>
      </c>
      <c r="B26" s="10" t="str">
        <f>[1]!GetFolder(A26)</f>
        <v>C:\Documents and Settings\DAG\My Documents\Visual Studio 2010\Projects\Console_Apps\SchTasksDotNet\SchTasksDotNet</v>
      </c>
      <c r="C26" s="10" t="str">
        <f>IF(LEN(B26)&gt;LEN(Visual_Studio_Source_Code),RIGHT(B26,LEN(B26)-LEN([1]!AddBackslash(Visual_Studio_Source_Code))),B26)</f>
        <v>Console_Apps\SchTasksDotNet\SchTasksDotNet</v>
      </c>
      <c r="D26" s="10" t="str">
        <f>[1]!GetFile(A26)</f>
        <v>Program.cs</v>
      </c>
      <c r="E26" s="13">
        <v>250</v>
      </c>
      <c r="F26" s="13" t="b">
        <f t="shared" si="1"/>
        <v>1</v>
      </c>
      <c r="G26" s="13"/>
      <c r="H26" s="13"/>
      <c r="I26" s="11" t="s">
        <v>162</v>
      </c>
      <c r="J26" s="16" t="str">
        <f t="shared" si="0"/>
        <v>Console_Apps\SchTasksDotNet\SchTasksDotNet</v>
      </c>
    </row>
    <row r="27" spans="1:10" x14ac:dyDescent="0.25">
      <c r="A27" s="10" t="s">
        <v>173</v>
      </c>
      <c r="B27" s="10" t="str">
        <f>[1]!GetFolder(A27)</f>
        <v>C:\Documents and Settings\DAG\My Documents\Visual Studio 2010\Projects\Console_Apps\SchTasksDotNet\SchTasksDotNet</v>
      </c>
      <c r="C27" s="10" t="str">
        <f>IF(LEN(B27)&gt;LEN(Visual_Studio_Source_Code),RIGHT(B27,LEN(B27)-LEN([1]!AddBackslash(Visual_Studio_Source_Code))),B27)</f>
        <v>Console_Apps\SchTasksDotNet\SchTasksDotNet</v>
      </c>
      <c r="D27" s="10" t="str">
        <f>[1]!GetFile(A27)</f>
        <v>Program.cs</v>
      </c>
      <c r="E27" s="13">
        <v>417</v>
      </c>
      <c r="F27" s="13" t="b">
        <f t="shared" si="1"/>
        <v>1</v>
      </c>
      <c r="G27" s="13"/>
      <c r="H27" s="13"/>
      <c r="I27" s="11" t="s">
        <v>162</v>
      </c>
      <c r="J27" s="16" t="str">
        <f t="shared" si="0"/>
        <v>Console_Apps\SchTasksDotNet\SchTasksDotNet</v>
      </c>
    </row>
    <row r="28" spans="1:10" x14ac:dyDescent="0.25">
      <c r="A28" s="10" t="s">
        <v>174</v>
      </c>
      <c r="B28" s="10" t="str">
        <f>[1]!GetFolder(A28)</f>
        <v>C:\Documents and Settings\DAG\My Documents\Visual Studio 2010\Projects\Console_Apps\Tpl2Msg\Tpl2Msg</v>
      </c>
      <c r="C28" s="10" t="str">
        <f>IF(LEN(B28)&gt;LEN(Visual_Studio_Source_Code),RIGHT(B28,LEN(B28)-LEN([1]!AddBackslash(Visual_Studio_Source_Code))),B28)</f>
        <v>Console_Apps\Tpl2Msg\Tpl2Msg</v>
      </c>
      <c r="D28" s="10" t="str">
        <f>[1]!GetFile(A28)</f>
        <v>Program.cs</v>
      </c>
      <c r="E28" s="13">
        <v>65</v>
      </c>
      <c r="F28" s="13" t="b">
        <f t="shared" si="1"/>
        <v>1</v>
      </c>
      <c r="G28" s="13"/>
      <c r="H28" s="13"/>
      <c r="I28" s="11" t="s">
        <v>153</v>
      </c>
      <c r="J28" s="16" t="str">
        <f t="shared" si="0"/>
        <v>Console_Apps\Tpl2Msg\Tpl2Msg</v>
      </c>
    </row>
    <row r="29" spans="1:10" x14ac:dyDescent="0.25">
      <c r="A29" s="10" t="s">
        <v>174</v>
      </c>
      <c r="B29" s="10" t="str">
        <f>[1]!GetFolder(A29)</f>
        <v>C:\Documents and Settings\DAG\My Documents\Visual Studio 2010\Projects\Console_Apps\Tpl2Msg\Tpl2Msg</v>
      </c>
      <c r="C29" s="10" t="str">
        <f>IF(LEN(B29)&gt;LEN(Visual_Studio_Source_Code),RIGHT(B29,LEN(B29)-LEN([1]!AddBackslash(Visual_Studio_Source_Code))),B29)</f>
        <v>Console_Apps\Tpl2Msg\Tpl2Msg</v>
      </c>
      <c r="D29" s="10" t="str">
        <f>[1]!GetFile(A29)</f>
        <v>Program.cs</v>
      </c>
      <c r="E29" s="13">
        <v>66</v>
      </c>
      <c r="F29" s="13" t="b">
        <f t="shared" si="1"/>
        <v>1</v>
      </c>
      <c r="G29" s="13"/>
      <c r="H29" s="13"/>
      <c r="I29" s="11" t="s">
        <v>154</v>
      </c>
      <c r="J29" s="16" t="str">
        <f t="shared" si="0"/>
        <v>Console_Apps\Tpl2Msg\Tpl2Msg</v>
      </c>
    </row>
    <row r="30" spans="1:10" x14ac:dyDescent="0.25">
      <c r="A30" s="10" t="s">
        <v>174</v>
      </c>
      <c r="B30" s="10" t="str">
        <f>[1]!GetFolder(A30)</f>
        <v>C:\Documents and Settings\DAG\My Documents\Visual Studio 2010\Projects\Console_Apps\Tpl2Msg\Tpl2Msg</v>
      </c>
      <c r="C30" s="10" t="str">
        <f>IF(LEN(B30)&gt;LEN(Visual_Studio_Source_Code),RIGHT(B30,LEN(B30)-LEN([1]!AddBackslash(Visual_Studio_Source_Code))),B30)</f>
        <v>Console_Apps\Tpl2Msg\Tpl2Msg</v>
      </c>
      <c r="D30" s="10" t="str">
        <f>[1]!GetFile(A30)</f>
        <v>Program.cs</v>
      </c>
      <c r="E30" s="13">
        <v>67</v>
      </c>
      <c r="F30" s="13" t="b">
        <f t="shared" si="1"/>
        <v>1</v>
      </c>
      <c r="G30" s="13"/>
      <c r="H30" s="13"/>
      <c r="I30" s="11" t="s">
        <v>167</v>
      </c>
      <c r="J30" s="16" t="str">
        <f t="shared" si="0"/>
        <v>Console_Apps\Tpl2Msg\Tpl2Msg</v>
      </c>
    </row>
    <row r="31" spans="1:10" x14ac:dyDescent="0.25">
      <c r="A31" s="10" t="s">
        <v>174</v>
      </c>
      <c r="B31" s="10" t="str">
        <f>[1]!GetFolder(A31)</f>
        <v>C:\Documents and Settings\DAG\My Documents\Visual Studio 2010\Projects\Console_Apps\Tpl2Msg\Tpl2Msg</v>
      </c>
      <c r="C31" s="10" t="str">
        <f>IF(LEN(B31)&gt;LEN(Visual_Studio_Source_Code),RIGHT(B31,LEN(B31)-LEN([1]!AddBackslash(Visual_Studio_Source_Code))),B31)</f>
        <v>Console_Apps\Tpl2Msg\Tpl2Msg</v>
      </c>
      <c r="D31" s="10" t="str">
        <f>[1]!GetFile(A31)</f>
        <v>Program.cs</v>
      </c>
      <c r="E31" s="13">
        <v>166</v>
      </c>
      <c r="F31" s="13" t="b">
        <f t="shared" si="1"/>
        <v>1</v>
      </c>
      <c r="G31" s="13"/>
      <c r="H31" s="13"/>
      <c r="I31" s="11" t="s">
        <v>175</v>
      </c>
      <c r="J31" s="16" t="str">
        <f t="shared" si="0"/>
        <v>Console_Apps\Tpl2Msg\Tpl2Msg</v>
      </c>
    </row>
    <row r="32" spans="1:10" x14ac:dyDescent="0.25">
      <c r="A32" s="10" t="s">
        <v>176</v>
      </c>
      <c r="B32" s="10" t="str">
        <f>[1]!GetFolder(A32)</f>
        <v>C:\Documents and Settings\DAG\My Documents\Visual Studio 2010\Projects\NOLANB\DataEaseDirectoryReader\DataEase</v>
      </c>
      <c r="C32" s="10" t="str">
        <f>IF(LEN(B32)&gt;LEN(Visual_Studio_Source_Code),RIGHT(B32,LEN(B32)-LEN([1]!AddBackslash(Visual_Studio_Source_Code))),B32)</f>
        <v>NOLANB\DataEaseDirectoryReader\DataEase</v>
      </c>
      <c r="D32" s="10" t="str">
        <f>[1]!GetFile(A32)</f>
        <v>FormInfoPropertyListCollection.cs</v>
      </c>
      <c r="E32" s="13">
        <v>255</v>
      </c>
      <c r="F32" s="13" t="b">
        <f t="shared" si="1"/>
        <v>1</v>
      </c>
      <c r="G32" s="13"/>
      <c r="H32" s="13"/>
      <c r="I32" s="11" t="s">
        <v>177</v>
      </c>
      <c r="J32" s="16" t="str">
        <f t="shared" si="0"/>
        <v>NOLANB\DataEaseDirectoryReader\DataEase</v>
      </c>
    </row>
    <row r="33" spans="1:10" x14ac:dyDescent="0.25">
      <c r="A33" s="10" t="s">
        <v>178</v>
      </c>
      <c r="B33" s="10" t="str">
        <f>[1]!GetFolder(A33)</f>
        <v>C:\Documents and Settings\DAG\My Documents\Visual Studio 2010\Projects\NOLANB\DataEaseDirectoryReader\DataEase</v>
      </c>
      <c r="C33" s="10" t="str">
        <f>IF(LEN(B33)&gt;LEN(Visual_Studio_Source_Code),RIGHT(B33,LEN(B33)-LEN([1]!AddBackslash(Visual_Studio_Source_Code))),B33)</f>
        <v>NOLANB\DataEaseDirectoryReader\DataEase</v>
      </c>
      <c r="D33" s="10" t="str">
        <f>[1]!GetFile(A33)</f>
        <v>ReportInfoPropertyListCollection.cs</v>
      </c>
      <c r="E33" s="13">
        <v>257</v>
      </c>
      <c r="F33" s="13" t="b">
        <f t="shared" si="1"/>
        <v>1</v>
      </c>
      <c r="G33" s="13"/>
      <c r="H33" s="13"/>
      <c r="I33" s="11" t="s">
        <v>177</v>
      </c>
      <c r="J33" s="16" t="str">
        <f t="shared" si="0"/>
        <v>NOLANB\DataEaseDirectoryReader\DataEase</v>
      </c>
    </row>
    <row r="34" spans="1:10" x14ac:dyDescent="0.25">
      <c r="A34" s="10" t="s">
        <v>179</v>
      </c>
      <c r="B34" s="10" t="str">
        <f>[1]!GetFolder(A34)</f>
        <v>C:\Documents and Settings\DAG\My Documents\Visual Studio 2010\Projects\NOLANB\DataEaseDirectoryReader\DataEase</v>
      </c>
      <c r="C34" s="10" t="str">
        <f>IF(LEN(B34)&gt;LEN(Visual_Studio_Source_Code),RIGHT(B34,LEN(B34)-LEN([1]!AddBackslash(Visual_Studio_Source_Code))),B34)</f>
        <v>NOLANB\DataEaseDirectoryReader\DataEase</v>
      </c>
      <c r="D34" s="10" t="str">
        <f>[1]!GetFile(A34)</f>
        <v>ReportsDirectory.cs</v>
      </c>
      <c r="E34" s="13">
        <v>221</v>
      </c>
      <c r="F34" s="13" t="b">
        <f t="shared" si="1"/>
        <v>1</v>
      </c>
      <c r="G34" s="13"/>
      <c r="H34" s="13"/>
      <c r="I34" s="11" t="s">
        <v>180</v>
      </c>
      <c r="J34" s="16" t="str">
        <f t="shared" si="0"/>
        <v>NOLANB\DataEaseDirectoryReader\DataEase</v>
      </c>
    </row>
    <row r="35" spans="1:10" x14ac:dyDescent="0.25">
      <c r="A35" s="10" t="s">
        <v>181</v>
      </c>
      <c r="B35" s="10" t="str">
        <f>[1]!GetFolder(A35)</f>
        <v>C:\Documents and Settings\DAG\My Documents\Visual Studio 2010\Projects\NOLANB\DataEaseDirectoryReader\DataEaseDirectoryReader</v>
      </c>
      <c r="C35" s="10" t="str">
        <f>IF(LEN(B35)&gt;LEN(Visual_Studio_Source_Code),RIGHT(B35,LEN(B35)-LEN([1]!AddBackslash(Visual_Studio_Source_Code))),B35)</f>
        <v>NOLANB\DataEaseDirectoryReader\DataEaseDirectoryReader</v>
      </c>
      <c r="D35" s="10" t="str">
        <f>[1]!GetFile(A35)</f>
        <v>Program.cs</v>
      </c>
      <c r="E35" s="13">
        <v>146</v>
      </c>
      <c r="F35" s="13" t="b">
        <f t="shared" si="1"/>
        <v>1</v>
      </c>
      <c r="G35" s="13"/>
      <c r="H35" s="13"/>
      <c r="I35" s="11" t="s">
        <v>153</v>
      </c>
      <c r="J35" s="16" t="str">
        <f t="shared" si="0"/>
        <v>NOLANB\DataEaseDirectoryReader\DataEaseDirectoryReader</v>
      </c>
    </row>
    <row r="36" spans="1:10" x14ac:dyDescent="0.25">
      <c r="A36" s="10" t="s">
        <v>181</v>
      </c>
      <c r="B36" s="10" t="str">
        <f>[1]!GetFolder(A36)</f>
        <v>C:\Documents and Settings\DAG\My Documents\Visual Studio 2010\Projects\NOLANB\DataEaseDirectoryReader\DataEaseDirectoryReader</v>
      </c>
      <c r="C36" s="10" t="str">
        <f>IF(LEN(B36)&gt;LEN(Visual_Studio_Source_Code),RIGHT(B36,LEN(B36)-LEN([1]!AddBackslash(Visual_Studio_Source_Code))),B36)</f>
        <v>NOLANB\DataEaseDirectoryReader\DataEaseDirectoryReader</v>
      </c>
      <c r="D36" s="10" t="str">
        <f>[1]!GetFile(A36)</f>
        <v>Program.cs</v>
      </c>
      <c r="E36" s="13">
        <v>147</v>
      </c>
      <c r="F36" s="13" t="b">
        <f t="shared" si="1"/>
        <v>1</v>
      </c>
      <c r="G36" s="13"/>
      <c r="H36" s="13"/>
      <c r="I36" s="11" t="s">
        <v>154</v>
      </c>
      <c r="J36" s="16" t="str">
        <f t="shared" si="0"/>
        <v>NOLANB\DataEaseDirectoryReader\DataEaseDirectoryReader</v>
      </c>
    </row>
    <row r="37" spans="1:10" x14ac:dyDescent="0.25">
      <c r="A37" s="10" t="s">
        <v>181</v>
      </c>
      <c r="B37" s="10" t="str">
        <f>[1]!GetFolder(A37)</f>
        <v>C:\Documents and Settings\DAG\My Documents\Visual Studio 2010\Projects\NOLANB\DataEaseDirectoryReader\DataEaseDirectoryReader</v>
      </c>
      <c r="C37" s="10" t="str">
        <f>IF(LEN(B37)&gt;LEN(Visual_Studio_Source_Code),RIGHT(B37,LEN(B37)-LEN([1]!AddBackslash(Visual_Studio_Source_Code))),B37)</f>
        <v>NOLANB\DataEaseDirectoryReader\DataEaseDirectoryReader</v>
      </c>
      <c r="D37" s="10" t="str">
        <f>[1]!GetFile(A37)</f>
        <v>Program.cs</v>
      </c>
      <c r="E37" s="13">
        <v>405</v>
      </c>
      <c r="F37" s="13" t="b">
        <f t="shared" si="1"/>
        <v>1</v>
      </c>
      <c r="G37" s="13"/>
      <c r="H37" s="13"/>
      <c r="I37" s="11" t="s">
        <v>155</v>
      </c>
      <c r="J37" s="16" t="str">
        <f t="shared" si="0"/>
        <v>NOLANB\DataEaseDirectoryReader\DataEaseDirectoryReader</v>
      </c>
    </row>
    <row r="38" spans="1:10" x14ac:dyDescent="0.25">
      <c r="A38" s="10" t="s">
        <v>182</v>
      </c>
      <c r="B38" s="10" t="str">
        <f>[1]!GetFolder(A38)</f>
        <v>C:\Documents and Settings\DAG\My Documents\Visual Studio 2010\Projects\NOLANB\DataEaseDirectoryReader\SupportMethodTester</v>
      </c>
      <c r="C38" s="10" t="str">
        <f>IF(LEN(B38)&gt;LEN(Visual_Studio_Source_Code),RIGHT(B38,LEN(B38)-LEN([1]!AddBackslash(Visual_Studio_Source_Code))),B38)</f>
        <v>NOLANB\DataEaseDirectoryReader\SupportMethodTester</v>
      </c>
      <c r="D38" s="10" t="str">
        <f>[1]!GetFile(A38)</f>
        <v>Program.cs</v>
      </c>
      <c r="E38" s="13">
        <v>87</v>
      </c>
      <c r="F38" s="13" t="b">
        <f t="shared" si="1"/>
        <v>1</v>
      </c>
      <c r="G38" s="13"/>
      <c r="H38" s="13"/>
      <c r="I38" s="11" t="s">
        <v>153</v>
      </c>
      <c r="J38" s="16" t="str">
        <f t="shared" si="0"/>
        <v>NOLANB\DataEaseDirectoryReader\SupportMethodTester</v>
      </c>
    </row>
    <row r="39" spans="1:10" x14ac:dyDescent="0.25">
      <c r="A39" s="10" t="s">
        <v>182</v>
      </c>
      <c r="B39" s="10" t="str">
        <f>[1]!GetFolder(A39)</f>
        <v>C:\Documents and Settings\DAG\My Documents\Visual Studio 2010\Projects\NOLANB\DataEaseDirectoryReader\SupportMethodTester</v>
      </c>
      <c r="C39" s="10" t="str">
        <f>IF(LEN(B39)&gt;LEN(Visual_Studio_Source_Code),RIGHT(B39,LEN(B39)-LEN([1]!AddBackslash(Visual_Studio_Source_Code))),B39)</f>
        <v>NOLANB\DataEaseDirectoryReader\SupportMethodTester</v>
      </c>
      <c r="D39" s="10" t="str">
        <f>[1]!GetFile(A39)</f>
        <v>Program.cs</v>
      </c>
      <c r="E39" s="13">
        <v>88</v>
      </c>
      <c r="F39" s="13" t="b">
        <f t="shared" si="1"/>
        <v>1</v>
      </c>
      <c r="G39" s="13"/>
      <c r="H39" s="13"/>
      <c r="I39" s="11" t="s">
        <v>154</v>
      </c>
      <c r="J39" s="16" t="str">
        <f t="shared" si="0"/>
        <v>NOLANB\DataEaseDirectoryReader\SupportMethodTester</v>
      </c>
    </row>
    <row r="40" spans="1:10" x14ac:dyDescent="0.25">
      <c r="A40" s="10" t="s">
        <v>182</v>
      </c>
      <c r="B40" s="10" t="str">
        <f>[1]!GetFolder(A40)</f>
        <v>C:\Documents and Settings\DAG\My Documents\Visual Studio 2010\Projects\NOLANB\DataEaseDirectoryReader\SupportMethodTester</v>
      </c>
      <c r="C40" s="10" t="str">
        <f>IF(LEN(B40)&gt;LEN(Visual_Studio_Source_Code),RIGHT(B40,LEN(B40)-LEN([1]!AddBackslash(Visual_Studio_Source_Code))),B40)</f>
        <v>NOLANB\DataEaseDirectoryReader\SupportMethodTester</v>
      </c>
      <c r="D40" s="10" t="str">
        <f>[1]!GetFile(A40)</f>
        <v>Program.cs</v>
      </c>
      <c r="E40" s="13">
        <v>113</v>
      </c>
      <c r="F40" s="13" t="b">
        <f t="shared" si="1"/>
        <v>1</v>
      </c>
      <c r="G40" s="13"/>
      <c r="H40" s="13"/>
      <c r="I40" s="11" t="s">
        <v>180</v>
      </c>
      <c r="J40" s="16" t="str">
        <f t="shared" si="0"/>
        <v>NOLANB\DataEaseDirectoryReader\SupportMethodTester</v>
      </c>
    </row>
    <row r="41" spans="1:10" x14ac:dyDescent="0.25">
      <c r="A41" s="10" t="s">
        <v>182</v>
      </c>
      <c r="B41" s="10" t="str">
        <f>[1]!GetFolder(A41)</f>
        <v>C:\Documents and Settings\DAG\My Documents\Visual Studio 2010\Projects\NOLANB\DataEaseDirectoryReader\SupportMethodTester</v>
      </c>
      <c r="C41" s="10" t="str">
        <f>IF(LEN(B41)&gt;LEN(Visual_Studio_Source_Code),RIGHT(B41,LEN(B41)-LEN([1]!AddBackslash(Visual_Studio_Source_Code))),B41)</f>
        <v>NOLANB\DataEaseDirectoryReader\SupportMethodTester</v>
      </c>
      <c r="D41" s="10" t="str">
        <f>[1]!GetFile(A41)</f>
        <v>Program.cs</v>
      </c>
      <c r="E41" s="13">
        <v>188</v>
      </c>
      <c r="F41" s="13" t="b">
        <f t="shared" si="1"/>
        <v>1</v>
      </c>
      <c r="G41" s="13"/>
      <c r="H41" s="13"/>
      <c r="I41" s="11" t="s">
        <v>180</v>
      </c>
      <c r="J41" s="16" t="str">
        <f t="shared" si="0"/>
        <v>NOLANB\DataEaseDirectoryReader\SupportMethodTester</v>
      </c>
    </row>
    <row r="42" spans="1:10" x14ac:dyDescent="0.25">
      <c r="A42" s="10" t="s">
        <v>183</v>
      </c>
      <c r="B42" s="10" t="str">
        <f>[1]!GetFolder(A42)</f>
        <v>C:\Documents and Settings\DAG\My Documents\Visual Studio 2010\Projects\NOLANB\DEDocTR_Repository_Manager\DEDocTR_Repository_Manager</v>
      </c>
      <c r="C42" s="10" t="str">
        <f>IF(LEN(B42)&gt;LEN(Visual_Studio_Source_Code),RIGHT(B42,LEN(B42)-LEN([1]!AddBackslash(Visual_Studio_Source_Code))),B42)</f>
        <v>NOLANB\DEDocTR_Repository_Manager\DEDocTR_Repository_Manager</v>
      </c>
      <c r="D42" s="10" t="str">
        <f>[1]!GetFile(A42)</f>
        <v>Form1.cs</v>
      </c>
      <c r="E42" s="13">
        <v>84</v>
      </c>
      <c r="F42" s="13" t="b">
        <f t="shared" si="1"/>
        <v>1</v>
      </c>
      <c r="G42" s="13"/>
      <c r="H42" s="13"/>
      <c r="I42" s="11" t="s">
        <v>184</v>
      </c>
      <c r="J42" s="16" t="str">
        <f t="shared" si="0"/>
        <v>NOLANB\DEDocTR_Repository_Manager\DEDocTR_Repository_Manager</v>
      </c>
    </row>
    <row r="43" spans="1:10" x14ac:dyDescent="0.25">
      <c r="A43" s="10" t="s">
        <v>183</v>
      </c>
      <c r="B43" s="10" t="str">
        <f>[1]!GetFolder(A43)</f>
        <v>C:\Documents and Settings\DAG\My Documents\Visual Studio 2010\Projects\NOLANB\DEDocTR_Repository_Manager\DEDocTR_Repository_Manager</v>
      </c>
      <c r="C43" s="10" t="str">
        <f>IF(LEN(B43)&gt;LEN(Visual_Studio_Source_Code),RIGHT(B43,LEN(B43)-LEN([1]!AddBackslash(Visual_Studio_Source_Code))),B43)</f>
        <v>NOLANB\DEDocTR_Repository_Manager\DEDocTR_Repository_Manager</v>
      </c>
      <c r="D43" s="10" t="str">
        <f>[1]!GetFile(A43)</f>
        <v>Form1.cs</v>
      </c>
      <c r="E43" s="13">
        <v>177</v>
      </c>
      <c r="F43" s="13" t="b">
        <f t="shared" si="1"/>
        <v>1</v>
      </c>
      <c r="G43" s="13"/>
      <c r="H43" s="13"/>
      <c r="I43" s="11" t="s">
        <v>185</v>
      </c>
      <c r="J43" s="16" t="str">
        <f t="shared" si="0"/>
        <v>NOLANB\DEDocTR_Repository_Manager\DEDocTR_Repository_Manager</v>
      </c>
    </row>
    <row r="44" spans="1:10" x14ac:dyDescent="0.25">
      <c r="A44" s="10" t="s">
        <v>186</v>
      </c>
      <c r="B44" s="10" t="str">
        <f>[1]!GetFolder(A44)</f>
        <v>C:\Documents and Settings\DAG\My Documents\Visual Studio 2010\Projects\NOLANB\DEFormInfo\DEFormInfo</v>
      </c>
      <c r="C44" s="10" t="str">
        <f>IF(LEN(B44)&gt;LEN(Visual_Studio_Source_Code),RIGHT(B44,LEN(B44)-LEN([1]!AddBackslash(Visual_Studio_Source_Code))),B44)</f>
        <v>NOLANB\DEFormInfo\DEFormInfo</v>
      </c>
      <c r="D44" s="10" t="str">
        <f>[1]!GetFile(A44)</f>
        <v>Form1.cs</v>
      </c>
      <c r="E44" s="13">
        <v>130</v>
      </c>
      <c r="F44" s="13" t="b">
        <f t="shared" si="1"/>
        <v>1</v>
      </c>
      <c r="G44" s="13"/>
      <c r="H44" s="13"/>
      <c r="I44" s="11" t="s">
        <v>187</v>
      </c>
      <c r="J44" s="16" t="str">
        <f t="shared" si="0"/>
        <v>NOLANB\DEFormInfo\DEFormInfo</v>
      </c>
    </row>
    <row r="45" spans="1:10" x14ac:dyDescent="0.25">
      <c r="A45" s="10" t="s">
        <v>188</v>
      </c>
      <c r="B45" s="10" t="str">
        <f>[1]!GetFolder(A45)</f>
        <v>C:\Documents and Settings\DAG\My Documents\Visual Studio 2010\Projects\NOLANB\ZZRdInts\ZZRdInts</v>
      </c>
      <c r="C45" s="10" t="str">
        <f>IF(LEN(B45)&gt;LEN(Visual_Studio_Source_Code),RIGHT(B45,LEN(B45)-LEN([1]!AddBackslash(Visual_Studio_Source_Code))),B45)</f>
        <v>NOLANB\ZZRdInts\ZZRdInts</v>
      </c>
      <c r="D45" s="10" t="str">
        <f>[1]!GetFile(A45)</f>
        <v>Program.cs</v>
      </c>
      <c r="E45" s="13">
        <v>105</v>
      </c>
      <c r="F45" s="13" t="b">
        <f t="shared" si="1"/>
        <v>1</v>
      </c>
      <c r="G45" s="13"/>
      <c r="H45" s="13"/>
      <c r="I45" s="11" t="s">
        <v>152</v>
      </c>
      <c r="J45" s="16" t="str">
        <f t="shared" si="0"/>
        <v>NOLANB\ZZRdInts\ZZRdInts</v>
      </c>
    </row>
    <row r="46" spans="1:10" x14ac:dyDescent="0.25">
      <c r="A46" s="10" t="s">
        <v>188</v>
      </c>
      <c r="B46" s="10" t="str">
        <f>[1]!GetFolder(A46)</f>
        <v>C:\Documents and Settings\DAG\My Documents\Visual Studio 2010\Projects\NOLANB\ZZRdInts\ZZRdInts</v>
      </c>
      <c r="C46" s="10" t="str">
        <f>IF(LEN(B46)&gt;LEN(Visual_Studio_Source_Code),RIGHT(B46,LEN(B46)-LEN([1]!AddBackslash(Visual_Studio_Source_Code))),B46)</f>
        <v>NOLANB\ZZRdInts\ZZRdInts</v>
      </c>
      <c r="D46" s="10" t="str">
        <f>[1]!GetFile(A46)</f>
        <v>Program.cs</v>
      </c>
      <c r="E46" s="13">
        <v>114</v>
      </c>
      <c r="F46" s="13" t="b">
        <f t="shared" si="1"/>
        <v>1</v>
      </c>
      <c r="G46" s="13"/>
      <c r="H46" s="13"/>
      <c r="I46" s="11" t="s">
        <v>153</v>
      </c>
      <c r="J46" s="16" t="str">
        <f t="shared" si="0"/>
        <v>NOLANB\ZZRdInts\ZZRdInts</v>
      </c>
    </row>
    <row r="47" spans="1:10" x14ac:dyDescent="0.25">
      <c r="A47" s="10" t="s">
        <v>188</v>
      </c>
      <c r="B47" s="10" t="str">
        <f>[1]!GetFolder(A47)</f>
        <v>C:\Documents and Settings\DAG\My Documents\Visual Studio 2010\Projects\NOLANB\ZZRdInts\ZZRdInts</v>
      </c>
      <c r="C47" s="10" t="str">
        <f>IF(LEN(B47)&gt;LEN(Visual_Studio_Source_Code),RIGHT(B47,LEN(B47)-LEN([1]!AddBackslash(Visual_Studio_Source_Code))),B47)</f>
        <v>NOLANB\ZZRdInts\ZZRdInts</v>
      </c>
      <c r="D47" s="10" t="str">
        <f>[1]!GetFile(A47)</f>
        <v>Program.cs</v>
      </c>
      <c r="E47" s="13">
        <v>115</v>
      </c>
      <c r="F47" s="13" t="b">
        <f t="shared" si="1"/>
        <v>1</v>
      </c>
      <c r="G47" s="13"/>
      <c r="H47" s="13"/>
      <c r="I47" s="11" t="s">
        <v>154</v>
      </c>
      <c r="J47" s="16" t="str">
        <f t="shared" si="0"/>
        <v>NOLANB\ZZRdInts\ZZRdInts</v>
      </c>
    </row>
    <row r="48" spans="1:10" x14ac:dyDescent="0.25">
      <c r="A48" s="10" t="s">
        <v>188</v>
      </c>
      <c r="B48" s="10" t="str">
        <f>[1]!GetFolder(A48)</f>
        <v>C:\Documents and Settings\DAG\My Documents\Visual Studio 2010\Projects\NOLANB\ZZRdInts\ZZRdInts</v>
      </c>
      <c r="C48" s="10" t="str">
        <f>IF(LEN(B48)&gt;LEN(Visual_Studio_Source_Code),RIGHT(B48,LEN(B48)-LEN([1]!AddBackslash(Visual_Studio_Source_Code))),B48)</f>
        <v>NOLANB\ZZRdInts\ZZRdInts</v>
      </c>
      <c r="D48" s="10" t="str">
        <f>[1]!GetFile(A48)</f>
        <v>Program.cs</v>
      </c>
      <c r="E48" s="13">
        <v>258</v>
      </c>
      <c r="F48" s="13" t="b">
        <f t="shared" si="1"/>
        <v>1</v>
      </c>
      <c r="G48" s="13"/>
      <c r="H48" s="13"/>
      <c r="I48" s="11" t="s">
        <v>155</v>
      </c>
      <c r="J48" s="16" t="str">
        <f t="shared" si="0"/>
        <v>NOLANB\ZZRdInts\ZZRdInts</v>
      </c>
    </row>
    <row r="49" spans="1:10" x14ac:dyDescent="0.25">
      <c r="A49" s="10" t="s">
        <v>189</v>
      </c>
      <c r="B49" s="10" t="str">
        <f>[1]!GetFolder(A49)</f>
        <v>C:\Documents and Settings\DAG\My Documents\Visual Studio 2010\Projects\Tools_for_Programmers\CSVEditors\CSVEdit1</v>
      </c>
      <c r="C49" s="10" t="str">
        <f>IF(LEN(B49)&gt;LEN(Visual_Studio_Source_Code),RIGHT(B49,LEN(B49)-LEN([1]!AddBackslash(Visual_Studio_Source_Code))),B49)</f>
        <v>Tools_for_Programmers\CSVEditors\CSVEdit1</v>
      </c>
      <c r="D49" s="10" t="str">
        <f>[1]!GetFile(A49)</f>
        <v>Form1.cs</v>
      </c>
      <c r="E49" s="13">
        <v>426</v>
      </c>
      <c r="F49" s="13" t="b">
        <f t="shared" si="1"/>
        <v>1</v>
      </c>
      <c r="G49" s="13"/>
      <c r="H49" s="13"/>
      <c r="I49" s="11" t="s">
        <v>190</v>
      </c>
      <c r="J49" s="16" t="str">
        <f t="shared" si="0"/>
        <v>Tools_for_Programmers\CSVEditors\CSVEdit1</v>
      </c>
    </row>
    <row r="50" spans="1:10" x14ac:dyDescent="0.25">
      <c r="A50" s="10" t="s">
        <v>189</v>
      </c>
      <c r="B50" s="10" t="str">
        <f>[1]!GetFolder(A50)</f>
        <v>C:\Documents and Settings\DAG\My Documents\Visual Studio 2010\Projects\Tools_for_Programmers\CSVEditors\CSVEdit1</v>
      </c>
      <c r="C50" s="10" t="str">
        <f>IF(LEN(B50)&gt;LEN(Visual_Studio_Source_Code),RIGHT(B50,LEN(B50)-LEN([1]!AddBackslash(Visual_Studio_Source_Code))),B50)</f>
        <v>Tools_for_Programmers\CSVEditors\CSVEdit1</v>
      </c>
      <c r="D50" s="10" t="str">
        <f>[1]!GetFile(A50)</f>
        <v>Form1.cs</v>
      </c>
      <c r="E50" s="13">
        <v>435</v>
      </c>
      <c r="F50" s="13" t="b">
        <f t="shared" si="1"/>
        <v>1</v>
      </c>
      <c r="G50" s="13"/>
      <c r="H50" s="13"/>
      <c r="I50" s="11" t="s">
        <v>191</v>
      </c>
      <c r="J50" s="16" t="str">
        <f t="shared" si="0"/>
        <v>Tools_for_Programmers\CSVEditors\CSVEdit1</v>
      </c>
    </row>
    <row r="51" spans="1:10" x14ac:dyDescent="0.25">
      <c r="A51" s="10" t="s">
        <v>192</v>
      </c>
      <c r="B51" s="10" t="str">
        <f>[1]!GetFolder(A51)</f>
        <v>C:\Documents and Settings\DAG\My Documents\Visual Studio 2010\Projects\Tools_for_Programmers\CSVEditors\CSVEdit1</v>
      </c>
      <c r="C51" s="10" t="str">
        <f>IF(LEN(B51)&gt;LEN(Visual_Studio_Source_Code),RIGHT(B51,LEN(B51)-LEN([1]!AddBackslash(Visual_Studio_Source_Code))),B51)</f>
        <v>Tools_for_Programmers\CSVEditors\CSVEdit1</v>
      </c>
      <c r="D51" s="10" t="str">
        <f>[1]!GetFile(A51)</f>
        <v>Program.cs</v>
      </c>
      <c r="E51" s="13">
        <v>24</v>
      </c>
      <c r="F51" s="13" t="b">
        <f t="shared" si="1"/>
        <v>1</v>
      </c>
      <c r="G51" s="13"/>
      <c r="H51" s="13"/>
      <c r="I51" s="11" t="s">
        <v>193</v>
      </c>
      <c r="J51" s="16" t="str">
        <f t="shared" si="0"/>
        <v>Tools_for_Programmers\CSVEditors\CSVEdit1</v>
      </c>
    </row>
    <row r="52" spans="1:10" x14ac:dyDescent="0.25">
      <c r="A52" s="10" t="s">
        <v>192</v>
      </c>
      <c r="B52" s="10" t="str">
        <f>[1]!GetFolder(A52)</f>
        <v>C:\Documents and Settings\DAG\My Documents\Visual Studio 2010\Projects\Tools_for_Programmers\CSVEditors\CSVEdit1</v>
      </c>
      <c r="C52" s="10" t="str">
        <f>IF(LEN(B52)&gt;LEN(Visual_Studio_Source_Code),RIGHT(B52,LEN(B52)-LEN([1]!AddBackslash(Visual_Studio_Source_Code))),B52)</f>
        <v>Tools_for_Programmers\CSVEditors\CSVEdit1</v>
      </c>
      <c r="D52" s="10" t="str">
        <f>[1]!GetFile(A52)</f>
        <v>Program.cs</v>
      </c>
      <c r="E52" s="13">
        <v>25</v>
      </c>
      <c r="F52" s="13" t="b">
        <f t="shared" si="1"/>
        <v>1</v>
      </c>
      <c r="G52" s="13"/>
      <c r="H52" s="13"/>
      <c r="I52" s="11" t="s">
        <v>194</v>
      </c>
      <c r="J52" s="16" t="str">
        <f t="shared" si="0"/>
        <v>Tools_for_Programmers\CSVEditors\CSVEdit1</v>
      </c>
    </row>
    <row r="53" spans="1:10" x14ac:dyDescent="0.25">
      <c r="A53" s="10" t="s">
        <v>192</v>
      </c>
      <c r="B53" s="10" t="str">
        <f>[1]!GetFolder(A53)</f>
        <v>C:\Documents and Settings\DAG\My Documents\Visual Studio 2010\Projects\Tools_for_Programmers\CSVEditors\CSVEdit1</v>
      </c>
      <c r="C53" s="10" t="str">
        <f>IF(LEN(B53)&gt;LEN(Visual_Studio_Source_Code),RIGHT(B53,LEN(B53)-LEN([1]!AddBackslash(Visual_Studio_Source_Code))),B53)</f>
        <v>Tools_for_Programmers\CSVEditors\CSVEdit1</v>
      </c>
      <c r="D53" s="10" t="str">
        <f>[1]!GetFile(A53)</f>
        <v>Program.cs</v>
      </c>
      <c r="E53" s="13">
        <v>26</v>
      </c>
      <c r="F53" s="13" t="b">
        <f t="shared" si="1"/>
        <v>1</v>
      </c>
      <c r="G53" s="13"/>
      <c r="H53" s="13"/>
      <c r="I53" s="11" t="s">
        <v>195</v>
      </c>
      <c r="J53" s="16" t="str">
        <f t="shared" si="0"/>
        <v>Tools_for_Programmers\CSVEditors\CSVEdit1</v>
      </c>
    </row>
    <row r="54" spans="1:10" x14ac:dyDescent="0.25">
      <c r="A54" s="10" t="s">
        <v>196</v>
      </c>
      <c r="B54" s="10" t="str">
        <f>[1]!GetFolder(A54)</f>
        <v>C:\Documents and Settings\DAG\My Documents\Visual Studio 2010\Projects\Tools_for_Programmers\SourceCodeDependencyWalker\SourceCodeDependencyWalker</v>
      </c>
      <c r="C54" s="10" t="str">
        <f>IF(LEN(B54)&gt;LEN(Visual_Studio_Source_Code),RIGHT(B54,LEN(B54)-LEN([1]!AddBackslash(Visual_Studio_Source_Code))),B54)</f>
        <v>Tools_for_Programmers\SourceCodeDependencyWalker\SourceCodeDependencyWalker</v>
      </c>
      <c r="D54" s="10" t="str">
        <f>[1]!GetFile(A54)</f>
        <v>Program.cs</v>
      </c>
      <c r="E54" s="13">
        <v>84</v>
      </c>
      <c r="F54" s="13" t="b">
        <f t="shared" si="1"/>
        <v>1</v>
      </c>
      <c r="G54" s="13"/>
      <c r="H54" s="13"/>
      <c r="I54" s="11" t="s">
        <v>152</v>
      </c>
      <c r="J54" s="16" t="str">
        <f t="shared" si="0"/>
        <v>Tools_for_Programmers\SourceCodeDependencyWalker\SourceCodeDependencyWalker</v>
      </c>
    </row>
    <row r="55" spans="1:10" x14ac:dyDescent="0.25">
      <c r="A55" s="10" t="s">
        <v>196</v>
      </c>
      <c r="B55" s="10" t="str">
        <f>[1]!GetFolder(A55)</f>
        <v>C:\Documents and Settings\DAG\My Documents\Visual Studio 2010\Projects\Tools_for_Programmers\SourceCodeDependencyWalker\SourceCodeDependencyWalker</v>
      </c>
      <c r="C55" s="10" t="str">
        <f>IF(LEN(B55)&gt;LEN(Visual_Studio_Source_Code),RIGHT(B55,LEN(B55)-LEN([1]!AddBackslash(Visual_Studio_Source_Code))),B55)</f>
        <v>Tools_for_Programmers\SourceCodeDependencyWalker\SourceCodeDependencyWalker</v>
      </c>
      <c r="D55" s="10" t="str">
        <f>[1]!GetFile(A55)</f>
        <v>Program.cs</v>
      </c>
      <c r="E55" s="13">
        <v>93</v>
      </c>
      <c r="F55" s="13" t="b">
        <f t="shared" si="1"/>
        <v>1</v>
      </c>
      <c r="G55" s="13"/>
      <c r="H55" s="13"/>
      <c r="I55" s="11" t="s">
        <v>153</v>
      </c>
      <c r="J55" s="16" t="str">
        <f t="shared" si="0"/>
        <v>Tools_for_Programmers\SourceCodeDependencyWalker\SourceCodeDependencyWalker</v>
      </c>
    </row>
    <row r="56" spans="1:10" x14ac:dyDescent="0.25">
      <c r="A56" s="10" t="s">
        <v>196</v>
      </c>
      <c r="B56" s="10" t="str">
        <f>[1]!GetFolder(A56)</f>
        <v>C:\Documents and Settings\DAG\My Documents\Visual Studio 2010\Projects\Tools_for_Programmers\SourceCodeDependencyWalker\SourceCodeDependencyWalker</v>
      </c>
      <c r="C56" s="10" t="str">
        <f>IF(LEN(B56)&gt;LEN(Visual_Studio_Source_Code),RIGHT(B56,LEN(B56)-LEN([1]!AddBackslash(Visual_Studio_Source_Code))),B56)</f>
        <v>Tools_for_Programmers\SourceCodeDependencyWalker\SourceCodeDependencyWalker</v>
      </c>
      <c r="D56" s="10" t="str">
        <f>[1]!GetFile(A56)</f>
        <v>Program.cs</v>
      </c>
      <c r="E56" s="13">
        <v>94</v>
      </c>
      <c r="F56" s="13" t="b">
        <f t="shared" si="1"/>
        <v>1</v>
      </c>
      <c r="G56" s="13"/>
      <c r="H56" s="13"/>
      <c r="I56" s="11" t="s">
        <v>154</v>
      </c>
      <c r="J56" s="16" t="str">
        <f t="shared" si="0"/>
        <v>Tools_for_Programmers\SourceCodeDependencyWalker\SourceCodeDependencyWalker</v>
      </c>
    </row>
    <row r="57" spans="1:10" x14ac:dyDescent="0.25">
      <c r="A57" s="10" t="s">
        <v>196</v>
      </c>
      <c r="B57" s="10" t="str">
        <f>[1]!GetFolder(A57)</f>
        <v>C:\Documents and Settings\DAG\My Documents\Visual Studio 2010\Projects\Tools_for_Programmers\SourceCodeDependencyWalker\SourceCodeDependencyWalker</v>
      </c>
      <c r="C57" s="10" t="str">
        <f>IF(LEN(B57)&gt;LEN(Visual_Studio_Source_Code),RIGHT(B57,LEN(B57)-LEN([1]!AddBackslash(Visual_Studio_Source_Code))),B57)</f>
        <v>Tools_for_Programmers\SourceCodeDependencyWalker\SourceCodeDependencyWalker</v>
      </c>
      <c r="D57" s="10" t="str">
        <f>[1]!GetFile(A57)</f>
        <v>Program.cs</v>
      </c>
      <c r="E57" s="13">
        <v>185</v>
      </c>
      <c r="F57" s="13" t="b">
        <f t="shared" si="1"/>
        <v>1</v>
      </c>
      <c r="G57" s="13"/>
      <c r="H57" s="13"/>
      <c r="I57" s="11" t="s">
        <v>175</v>
      </c>
      <c r="J57" s="16" t="str">
        <f t="shared" si="0"/>
        <v>Tools_for_Programmers\SourceCodeDependencyWalker\SourceCodeDependencyWalker</v>
      </c>
    </row>
    <row r="58" spans="1:10" x14ac:dyDescent="0.25">
      <c r="A58" s="10" t="s">
        <v>197</v>
      </c>
      <c r="B58" s="10" t="str">
        <f>[1]!GetFolder(A58)</f>
        <v>C:\Documents and Settings\DAG\My Documents\Visual Studio 2010\Projects\Tools_for_Programmers\WinPEImportExportAnalyzer\WinPEImportExportAnalyzer</v>
      </c>
      <c r="C58" s="10" t="str">
        <f>IF(LEN(B58)&gt;LEN(Visual_Studio_Source_Code),RIGHT(B58,LEN(B58)-LEN([1]!AddBackslash(Visual_Studio_Source_Code))),B58)</f>
        <v>Tools_for_Programmers\WinPEImportExportAnalyzer\WinPEImportExportAnalyzer</v>
      </c>
      <c r="D58" s="10" t="str">
        <f>[1]!GetFile(A58)</f>
        <v>Program.cs</v>
      </c>
      <c r="E58" s="13">
        <v>109</v>
      </c>
      <c r="F58" s="13" t="b">
        <f t="shared" si="1"/>
        <v>1</v>
      </c>
      <c r="G58" s="13"/>
      <c r="H58" s="13"/>
      <c r="I58" s="11" t="s">
        <v>152</v>
      </c>
      <c r="J58" s="16" t="str">
        <f t="shared" si="0"/>
        <v>Tools_for_Programmers\WinPEImportExportAnalyzer\WinPEImportExportAnalyzer</v>
      </c>
    </row>
    <row r="59" spans="1:10" x14ac:dyDescent="0.25">
      <c r="A59" s="10" t="s">
        <v>197</v>
      </c>
      <c r="B59" s="10" t="str">
        <f>[1]!GetFolder(A59)</f>
        <v>C:\Documents and Settings\DAG\My Documents\Visual Studio 2010\Projects\Tools_for_Programmers\WinPEImportExportAnalyzer\WinPEImportExportAnalyzer</v>
      </c>
      <c r="C59" s="10" t="str">
        <f>IF(LEN(B59)&gt;LEN(Visual_Studio_Source_Code),RIGHT(B59,LEN(B59)-LEN([1]!AddBackslash(Visual_Studio_Source_Code))),B59)</f>
        <v>Tools_for_Programmers\WinPEImportExportAnalyzer\WinPEImportExportAnalyzer</v>
      </c>
      <c r="D59" s="10" t="str">
        <f>[1]!GetFile(A59)</f>
        <v>Program.cs</v>
      </c>
      <c r="E59" s="13">
        <v>118</v>
      </c>
      <c r="F59" s="13" t="b">
        <f t="shared" si="1"/>
        <v>1</v>
      </c>
      <c r="G59" s="13"/>
      <c r="H59" s="13"/>
      <c r="I59" s="11" t="s">
        <v>153</v>
      </c>
      <c r="J59" s="16" t="str">
        <f t="shared" si="0"/>
        <v>Tools_for_Programmers\WinPEImportExportAnalyzer\WinPEImportExportAnalyzer</v>
      </c>
    </row>
    <row r="60" spans="1:10" x14ac:dyDescent="0.25">
      <c r="A60" s="10" t="s">
        <v>197</v>
      </c>
      <c r="B60" s="10" t="str">
        <f>[1]!GetFolder(A60)</f>
        <v>C:\Documents and Settings\DAG\My Documents\Visual Studio 2010\Projects\Tools_for_Programmers\WinPEImportExportAnalyzer\WinPEImportExportAnalyzer</v>
      </c>
      <c r="C60" s="10" t="str">
        <f>IF(LEN(B60)&gt;LEN(Visual_Studio_Source_Code),RIGHT(B60,LEN(B60)-LEN([1]!AddBackslash(Visual_Studio_Source_Code))),B60)</f>
        <v>Tools_for_Programmers\WinPEImportExportAnalyzer\WinPEImportExportAnalyzer</v>
      </c>
      <c r="D60" s="10" t="str">
        <f>[1]!GetFile(A60)</f>
        <v>Program.cs</v>
      </c>
      <c r="E60" s="13">
        <v>119</v>
      </c>
      <c r="F60" s="13" t="b">
        <f t="shared" si="1"/>
        <v>1</v>
      </c>
      <c r="G60" s="13"/>
      <c r="H60" s="13"/>
      <c r="I60" s="11" t="s">
        <v>154</v>
      </c>
      <c r="J60" s="16" t="str">
        <f t="shared" si="0"/>
        <v>Tools_for_Programmers\WinPEImportExportAnalyzer\WinPEImportExportAnalyzer</v>
      </c>
    </row>
    <row r="61" spans="1:10" x14ac:dyDescent="0.25">
      <c r="A61" s="10" t="s">
        <v>197</v>
      </c>
      <c r="B61" s="10" t="str">
        <f>[1]!GetFolder(A61)</f>
        <v>C:\Documents and Settings\DAG\My Documents\Visual Studio 2010\Projects\Tools_for_Programmers\WinPEImportExportAnalyzer\WinPEImportExportAnalyzer</v>
      </c>
      <c r="C61" s="10" t="str">
        <f>IF(LEN(B61)&gt;LEN(Visual_Studio_Source_Code),RIGHT(B61,LEN(B61)-LEN([1]!AddBackslash(Visual_Studio_Source_Code))),B61)</f>
        <v>Tools_for_Programmers\WinPEImportExportAnalyzer\WinPEImportExportAnalyzer</v>
      </c>
      <c r="D61" s="10" t="str">
        <f>[1]!GetFile(A61)</f>
        <v>Program.cs</v>
      </c>
      <c r="E61" s="13">
        <v>224</v>
      </c>
      <c r="F61" s="13" t="b">
        <f t="shared" si="1"/>
        <v>1</v>
      </c>
      <c r="G61" s="13"/>
      <c r="H61" s="13"/>
      <c r="I61" s="11" t="s">
        <v>198</v>
      </c>
      <c r="J61" s="16" t="str">
        <f t="shared" si="0"/>
        <v>Tools_for_Programmers\WinPEImportExportAnalyzer\WinPEImportExportAnalyzer</v>
      </c>
    </row>
    <row r="62" spans="1:10" x14ac:dyDescent="0.25">
      <c r="A62" s="10" t="s">
        <v>197</v>
      </c>
      <c r="B62" s="10" t="str">
        <f>[1]!GetFolder(A62)</f>
        <v>C:\Documents and Settings\DAG\My Documents\Visual Studio 2010\Projects\Tools_for_Programmers\WinPEImportExportAnalyzer\WinPEImportExportAnalyzer</v>
      </c>
      <c r="C62" s="10" t="str">
        <f>IF(LEN(B62)&gt;LEN(Visual_Studio_Source_Code),RIGHT(B62,LEN(B62)-LEN([1]!AddBackslash(Visual_Studio_Source_Code))),B62)</f>
        <v>Tools_for_Programmers\WinPEImportExportAnalyzer\WinPEImportExportAnalyzer</v>
      </c>
      <c r="D62" s="10" t="str">
        <f>[1]!GetFile(A62)</f>
        <v>Program.cs</v>
      </c>
      <c r="E62" s="13">
        <v>231</v>
      </c>
      <c r="F62" s="13" t="b">
        <f t="shared" si="1"/>
        <v>1</v>
      </c>
      <c r="G62" s="13"/>
      <c r="H62" s="13"/>
      <c r="I62" s="11" t="s">
        <v>198</v>
      </c>
      <c r="J62" s="16" t="str">
        <f t="shared" si="0"/>
        <v>Tools_for_Programmers\WinPEImportExportAnalyzer\WinPEImportExportAnalyzer</v>
      </c>
    </row>
    <row r="63" spans="1:10" x14ac:dyDescent="0.25">
      <c r="A63" s="10" t="s">
        <v>197</v>
      </c>
      <c r="B63" s="10" t="str">
        <f>[1]!GetFolder(A63)</f>
        <v>C:\Documents and Settings\DAG\My Documents\Visual Studio 2010\Projects\Tools_for_Programmers\WinPEImportExportAnalyzer\WinPEImportExportAnalyzer</v>
      </c>
      <c r="C63" s="10" t="str">
        <f>IF(LEN(B63)&gt;LEN(Visual_Studio_Source_Code),RIGHT(B63,LEN(B63)-LEN([1]!AddBackslash(Visual_Studio_Source_Code))),B63)</f>
        <v>Tools_for_Programmers\WinPEImportExportAnalyzer\WinPEImportExportAnalyzer</v>
      </c>
      <c r="D63" s="10" t="str">
        <f>[1]!GetFile(A63)</f>
        <v>Program.cs</v>
      </c>
      <c r="E63" s="13">
        <v>248</v>
      </c>
      <c r="F63" s="13" t="b">
        <f t="shared" si="1"/>
        <v>1</v>
      </c>
      <c r="G63" s="13"/>
      <c r="H63" s="13"/>
      <c r="I63" s="11" t="s">
        <v>199</v>
      </c>
      <c r="J63" s="16" t="str">
        <f t="shared" si="0"/>
        <v>Tools_for_Programmers\WinPEImportExportAnalyzer\WinPEImportExportAnalyzer</v>
      </c>
    </row>
    <row r="64" spans="1:10" x14ac:dyDescent="0.25">
      <c r="A64" s="10" t="s">
        <v>197</v>
      </c>
      <c r="B64" s="10" t="str">
        <f>[1]!GetFolder(A64)</f>
        <v>C:\Documents and Settings\DAG\My Documents\Visual Studio 2010\Projects\Tools_for_Programmers\WinPEImportExportAnalyzer\WinPEImportExportAnalyzer</v>
      </c>
      <c r="C64" s="10" t="str">
        <f>IF(LEN(B64)&gt;LEN(Visual_Studio_Source_Code),RIGHT(B64,LEN(B64)-LEN([1]!AddBackslash(Visual_Studio_Source_Code))),B64)</f>
        <v>Tools_for_Programmers\WinPEImportExportAnalyzer\WinPEImportExportAnalyzer</v>
      </c>
      <c r="D64" s="10" t="str">
        <f>[1]!GetFile(A64)</f>
        <v>Program.cs</v>
      </c>
      <c r="E64" s="13">
        <v>256</v>
      </c>
      <c r="F64" s="13" t="b">
        <f t="shared" si="1"/>
        <v>1</v>
      </c>
      <c r="G64" s="13"/>
      <c r="H64" s="13"/>
      <c r="I64" s="11" t="s">
        <v>200</v>
      </c>
      <c r="J64" s="16" t="str">
        <f t="shared" si="0"/>
        <v>Tools_for_Programmers\WinPEImportExportAnalyzer\WinPEImportExportAnalyzer</v>
      </c>
    </row>
    <row r="65" spans="1:10" x14ac:dyDescent="0.25">
      <c r="A65" s="10" t="s">
        <v>197</v>
      </c>
      <c r="B65" s="10" t="str">
        <f>[1]!GetFolder(A65)</f>
        <v>C:\Documents and Settings\DAG\My Documents\Visual Studio 2010\Projects\Tools_for_Programmers\WinPEImportExportAnalyzer\WinPEImportExportAnalyzer</v>
      </c>
      <c r="C65" s="10" t="str">
        <f>IF(LEN(B65)&gt;LEN(Visual_Studio_Source_Code),RIGHT(B65,LEN(B65)-LEN([1]!AddBackslash(Visual_Studio_Source_Code))),B65)</f>
        <v>Tools_for_Programmers\WinPEImportExportAnalyzer\WinPEImportExportAnalyzer</v>
      </c>
      <c r="D65" s="10" t="str">
        <f>[1]!GetFile(A65)</f>
        <v>Program.cs</v>
      </c>
      <c r="E65" s="13">
        <v>263</v>
      </c>
      <c r="F65" s="13" t="b">
        <f t="shared" si="1"/>
        <v>1</v>
      </c>
      <c r="G65" s="13"/>
      <c r="H65" s="13"/>
      <c r="I65" s="11" t="s">
        <v>200</v>
      </c>
      <c r="J65" s="16" t="str">
        <f t="shared" si="0"/>
        <v>Tools_for_Programmers\WinPEImportExportAnalyzer\WinPEImportExportAnalyzer</v>
      </c>
    </row>
    <row r="66" spans="1:10" x14ac:dyDescent="0.25">
      <c r="A66" s="10" t="s">
        <v>197</v>
      </c>
      <c r="B66" s="10" t="str">
        <f>[1]!GetFolder(A66)</f>
        <v>C:\Documents and Settings\DAG\My Documents\Visual Studio 2010\Projects\Tools_for_Programmers\WinPEImportExportAnalyzer\WinPEImportExportAnalyzer</v>
      </c>
      <c r="C66" s="10" t="str">
        <f>IF(LEN(B66)&gt;LEN(Visual_Studio_Source_Code),RIGHT(B66,LEN(B66)-LEN([1]!AddBackslash(Visual_Studio_Source_Code))),B66)</f>
        <v>Tools_for_Programmers\WinPEImportExportAnalyzer\WinPEImportExportAnalyzer</v>
      </c>
      <c r="D66" s="10" t="str">
        <f>[1]!GetFile(A66)</f>
        <v>Program.cs</v>
      </c>
      <c r="E66" s="13">
        <v>277</v>
      </c>
      <c r="F66" s="13" t="b">
        <f t="shared" si="1"/>
        <v>1</v>
      </c>
      <c r="G66" s="13"/>
      <c r="H66" s="13"/>
      <c r="I66" s="11" t="s">
        <v>201</v>
      </c>
      <c r="J66" s="16" t="str">
        <f t="shared" ref="J66:J129" si="2">C66</f>
        <v>Tools_for_Programmers\WinPEImportExportAnalyzer\WinPEImportExportAnalyzer</v>
      </c>
    </row>
    <row r="67" spans="1:10" x14ac:dyDescent="0.25">
      <c r="A67" s="10" t="s">
        <v>202</v>
      </c>
      <c r="B67" s="10" t="str">
        <f>[1]!GetFolder(A67)</f>
        <v>C:\Documents and Settings\DAG\My Documents\Visual Studio 2010\Projects\WizardWrx_Libs\ApplicationHelpers\ApplicationHelpers</v>
      </c>
      <c r="C67" s="10" t="str">
        <f>IF(LEN(B67)&gt;LEN(Visual_Studio_Source_Code),RIGHT(B67,LEN(B67)-LEN([1]!AddBackslash(Visual_Studio_Source_Code))),B67)</f>
        <v>WizardWrx_Libs\ApplicationHelpers\ApplicationHelpers</v>
      </c>
      <c r="D67" s="10" t="str">
        <f>[1]!GetFile(A67)</f>
        <v>ApplicationInstance.cs</v>
      </c>
      <c r="E67" s="13">
        <v>179</v>
      </c>
      <c r="F67" s="13" t="b">
        <f t="shared" si="1"/>
        <v>1</v>
      </c>
      <c r="G67" s="13"/>
      <c r="H67" s="13"/>
      <c r="I67" s="11" t="s">
        <v>203</v>
      </c>
      <c r="J67" s="16" t="str">
        <f t="shared" si="2"/>
        <v>WizardWrx_Libs\ApplicationHelpers\ApplicationHelpers</v>
      </c>
    </row>
    <row r="68" spans="1:10" x14ac:dyDescent="0.25">
      <c r="A68" s="10" t="s">
        <v>202</v>
      </c>
      <c r="B68" s="10" t="str">
        <f>[1]!GetFolder(A68)</f>
        <v>C:\Documents and Settings\DAG\My Documents\Visual Studio 2010\Projects\WizardWrx_Libs\ApplicationHelpers\ApplicationHelpers</v>
      </c>
      <c r="C68" s="10" t="str">
        <f>IF(LEN(B68)&gt;LEN(Visual_Studio_Source_Code),RIGHT(B68,LEN(B68)-LEN([1]!AddBackslash(Visual_Studio_Source_Code))),B68)</f>
        <v>WizardWrx_Libs\ApplicationHelpers\ApplicationHelpers</v>
      </c>
      <c r="D68" s="10" t="str">
        <f>[1]!GetFile(A68)</f>
        <v>ApplicationInstance.cs</v>
      </c>
      <c r="E68" s="13">
        <v>188</v>
      </c>
      <c r="F68" s="13" t="b">
        <f t="shared" ref="F68:F131" si="3">NOT(ISERROR(FIND("ExceptionLogger",I68)))</f>
        <v>1</v>
      </c>
      <c r="G68" s="13"/>
      <c r="H68" s="13"/>
      <c r="I68" s="11" t="s">
        <v>204</v>
      </c>
      <c r="J68" s="16" t="str">
        <f t="shared" si="2"/>
        <v>WizardWrx_Libs\ApplicationHelpers\ApplicationHelpers</v>
      </c>
    </row>
    <row r="69" spans="1:10" x14ac:dyDescent="0.25">
      <c r="A69" s="10" t="s">
        <v>202</v>
      </c>
      <c r="B69" s="10" t="str">
        <f>[1]!GetFolder(A69)</f>
        <v>C:\Documents and Settings\DAG\My Documents\Visual Studio 2010\Projects\WizardWrx_Libs\ApplicationHelpers\ApplicationHelpers</v>
      </c>
      <c r="C69" s="10" t="str">
        <f>IF(LEN(B69)&gt;LEN(Visual_Studio_Source_Code),RIGHT(B69,LEN(B69)-LEN([1]!AddBackslash(Visual_Studio_Source_Code))),B69)</f>
        <v>WizardWrx_Libs\ApplicationHelpers\ApplicationHelpers</v>
      </c>
      <c r="D69" s="10" t="str">
        <f>[1]!GetFile(A69)</f>
        <v>ApplicationInstance.cs</v>
      </c>
      <c r="E69" s="13">
        <v>211</v>
      </c>
      <c r="F69" s="13" t="b">
        <f t="shared" si="3"/>
        <v>1</v>
      </c>
      <c r="G69" s="13"/>
      <c r="H69" s="13"/>
      <c r="I69" s="11" t="s">
        <v>205</v>
      </c>
      <c r="J69" s="16" t="str">
        <f t="shared" si="2"/>
        <v>WizardWrx_Libs\ApplicationHelpers\ApplicationHelpers</v>
      </c>
    </row>
    <row r="70" spans="1:10" x14ac:dyDescent="0.25">
      <c r="A70" s="10" t="s">
        <v>202</v>
      </c>
      <c r="B70" s="10" t="str">
        <f>[1]!GetFolder(A70)</f>
        <v>C:\Documents and Settings\DAG\My Documents\Visual Studio 2010\Projects\WizardWrx_Libs\ApplicationHelpers\ApplicationHelpers</v>
      </c>
      <c r="C70" s="10" t="str">
        <f>IF(LEN(B70)&gt;LEN(Visual_Studio_Source_Code),RIGHT(B70,LEN(B70)-LEN([1]!AddBackslash(Visual_Studio_Source_Code))),B70)</f>
        <v>WizardWrx_Libs\ApplicationHelpers\ApplicationHelpers</v>
      </c>
      <c r="D70" s="10" t="str">
        <f>[1]!GetFile(A70)</f>
        <v>ApplicationInstance.cs</v>
      </c>
      <c r="E70" s="13">
        <v>233</v>
      </c>
      <c r="F70" s="13" t="b">
        <f t="shared" si="3"/>
        <v>1</v>
      </c>
      <c r="G70" s="13"/>
      <c r="H70" s="13"/>
      <c r="I70" s="11" t="s">
        <v>206</v>
      </c>
      <c r="J70" s="16" t="str">
        <f t="shared" si="2"/>
        <v>WizardWrx_Libs\ApplicationHelpers\ApplicationHelpers</v>
      </c>
    </row>
    <row r="71" spans="1:10" x14ac:dyDescent="0.25">
      <c r="A71" s="10" t="s">
        <v>202</v>
      </c>
      <c r="B71" s="10" t="str">
        <f>[1]!GetFolder(A71)</f>
        <v>C:\Documents and Settings\DAG\My Documents\Visual Studio 2010\Projects\WizardWrx_Libs\ApplicationHelpers\ApplicationHelpers</v>
      </c>
      <c r="C71" s="10" t="str">
        <f>IF(LEN(B71)&gt;LEN(Visual_Studio_Source_Code),RIGHT(B71,LEN(B71)-LEN([1]!AddBackslash(Visual_Studio_Source_Code))),B71)</f>
        <v>WizardWrx_Libs\ApplicationHelpers\ApplicationHelpers</v>
      </c>
      <c r="D71" s="10" t="str">
        <f>[1]!GetFile(A71)</f>
        <v>ApplicationInstance.cs</v>
      </c>
      <c r="E71" s="13">
        <v>249</v>
      </c>
      <c r="F71" s="13" t="b">
        <f t="shared" si="3"/>
        <v>1</v>
      </c>
      <c r="G71" s="13"/>
      <c r="H71" s="13"/>
      <c r="I71" s="11" t="s">
        <v>207</v>
      </c>
      <c r="J71" s="16" t="str">
        <f t="shared" si="2"/>
        <v>WizardWrx_Libs\ApplicationHelpers\ApplicationHelpers</v>
      </c>
    </row>
    <row r="72" spans="1:10" x14ac:dyDescent="0.25">
      <c r="A72" s="10" t="s">
        <v>202</v>
      </c>
      <c r="B72" s="10" t="str">
        <f>[1]!GetFolder(A72)</f>
        <v>C:\Documents and Settings\DAG\My Documents\Visual Studio 2010\Projects\WizardWrx_Libs\ApplicationHelpers\ApplicationHelpers</v>
      </c>
      <c r="C72" s="10" t="str">
        <f>IF(LEN(B72)&gt;LEN(Visual_Studio_Source_Code),RIGHT(B72,LEN(B72)-LEN([1]!AddBackslash(Visual_Studio_Source_Code))),B72)</f>
        <v>WizardWrx_Libs\ApplicationHelpers\ApplicationHelpers</v>
      </c>
      <c r="D72" s="10" t="str">
        <f>[1]!GetFile(A72)</f>
        <v>ApplicationInstance.cs</v>
      </c>
      <c r="E72" s="13">
        <v>252</v>
      </c>
      <c r="F72" s="13" t="b">
        <f t="shared" si="3"/>
        <v>1</v>
      </c>
      <c r="G72" s="13"/>
      <c r="H72" s="13"/>
      <c r="I72" s="11" t="s">
        <v>208</v>
      </c>
      <c r="J72" s="16" t="str">
        <f t="shared" si="2"/>
        <v>WizardWrx_Libs\ApplicationHelpers\ApplicationHelpers</v>
      </c>
    </row>
    <row r="73" spans="1:10" x14ac:dyDescent="0.25">
      <c r="A73" s="10" t="s">
        <v>202</v>
      </c>
      <c r="B73" s="10" t="str">
        <f>[1]!GetFolder(A73)</f>
        <v>C:\Documents and Settings\DAG\My Documents\Visual Studio 2010\Projects\WizardWrx_Libs\ApplicationHelpers\ApplicationHelpers</v>
      </c>
      <c r="C73" s="10" t="str">
        <f>IF(LEN(B73)&gt;LEN(Visual_Studio_Source_Code),RIGHT(B73,LEN(B73)-LEN([1]!AddBackslash(Visual_Studio_Source_Code))),B73)</f>
        <v>WizardWrx_Libs\ApplicationHelpers\ApplicationHelpers</v>
      </c>
      <c r="D73" s="10" t="str">
        <f>[1]!GetFile(A73)</f>
        <v>ApplicationInstance.cs</v>
      </c>
      <c r="E73" s="13">
        <v>970</v>
      </c>
      <c r="F73" s="13" t="b">
        <f t="shared" si="3"/>
        <v>1</v>
      </c>
      <c r="G73" s="13"/>
      <c r="H73" s="13"/>
      <c r="I73" s="11" t="s">
        <v>209</v>
      </c>
      <c r="J73" s="16" t="str">
        <f t="shared" si="2"/>
        <v>WizardWrx_Libs\ApplicationHelpers\ApplicationHelpers</v>
      </c>
    </row>
    <row r="74" spans="1:10" x14ac:dyDescent="0.25">
      <c r="A74" s="10" t="s">
        <v>202</v>
      </c>
      <c r="B74" s="10" t="str">
        <f>[1]!GetFolder(A74)</f>
        <v>C:\Documents and Settings\DAG\My Documents\Visual Studio 2010\Projects\WizardWrx_Libs\ApplicationHelpers\ApplicationHelpers</v>
      </c>
      <c r="C74" s="10" t="str">
        <f>IF(LEN(B74)&gt;LEN(Visual_Studio_Source_Code),RIGHT(B74,LEN(B74)-LEN([1]!AddBackslash(Visual_Studio_Source_Code))),B74)</f>
        <v>WizardWrx_Libs\ApplicationHelpers\ApplicationHelpers</v>
      </c>
      <c r="D74" s="10" t="str">
        <f>[1]!GetFile(A74)</f>
        <v>ApplicationInstance.cs</v>
      </c>
      <c r="E74" s="13">
        <v>975</v>
      </c>
      <c r="F74" s="13" t="b">
        <f t="shared" si="3"/>
        <v>1</v>
      </c>
      <c r="G74" s="13"/>
      <c r="H74" s="13"/>
      <c r="I74" s="11" t="s">
        <v>210</v>
      </c>
      <c r="J74" s="16" t="str">
        <f t="shared" si="2"/>
        <v>WizardWrx_Libs\ApplicationHelpers\ApplicationHelpers</v>
      </c>
    </row>
    <row r="75" spans="1:10" x14ac:dyDescent="0.25">
      <c r="A75" s="10" t="s">
        <v>31</v>
      </c>
      <c r="B75" s="10" t="str">
        <f>[1]!GetFolder(A75)</f>
        <v>C:\Documents and Settings\DAG\My Documents\Visual Studio 2010\Projects\WizardWrx_Libs\ApplicationHelpers\ApplicationHelpers</v>
      </c>
      <c r="C75" s="10" t="str">
        <f>IF(LEN(B75)&gt;LEN(Visual_Studio_Source_Code),RIGHT(B75,LEN(B75)-LEN([1]!AddBackslash(Visual_Studio_Source_Code))),B75)</f>
        <v>WizardWrx_Libs\ApplicationHelpers\ApplicationHelpers</v>
      </c>
      <c r="D75" s="10" t="str">
        <f>[1]!GetFile(A75)</f>
        <v>ExceptionLogger.cs</v>
      </c>
      <c r="E75" s="13">
        <v>4</v>
      </c>
      <c r="F75" s="13" t="b">
        <f t="shared" si="3"/>
        <v>1</v>
      </c>
      <c r="G75" s="13"/>
      <c r="H75" s="13"/>
      <c r="I75" s="11" t="s">
        <v>211</v>
      </c>
      <c r="J75" s="16" t="str">
        <f t="shared" si="2"/>
        <v>WizardWrx_Libs\ApplicationHelpers\ApplicationHelpers</v>
      </c>
    </row>
    <row r="76" spans="1:10" x14ac:dyDescent="0.25">
      <c r="A76" s="10" t="s">
        <v>31</v>
      </c>
      <c r="B76" s="10" t="str">
        <f>[1]!GetFolder(A76)</f>
        <v>C:\Documents and Settings\DAG\My Documents\Visual Studio 2010\Projects\WizardWrx_Libs\ApplicationHelpers\ApplicationHelpers</v>
      </c>
      <c r="C76" s="10" t="str">
        <f>IF(LEN(B76)&gt;LEN(Visual_Studio_Source_Code),RIGHT(B76,LEN(B76)-LEN([1]!AddBackslash(Visual_Studio_Source_Code))),B76)</f>
        <v>WizardWrx_Libs\ApplicationHelpers\ApplicationHelpers</v>
      </c>
      <c r="D76" s="10" t="str">
        <f>[1]!GetFile(A76)</f>
        <v>ExceptionLogger.cs</v>
      </c>
      <c r="E76" s="13">
        <v>8</v>
      </c>
      <c r="F76" s="13" t="b">
        <f t="shared" si="3"/>
        <v>1</v>
      </c>
      <c r="G76" s="13"/>
      <c r="H76" s="13"/>
      <c r="I76" s="11" t="s">
        <v>212</v>
      </c>
      <c r="J76" s="16" t="str">
        <f t="shared" si="2"/>
        <v>WizardWrx_Libs\ApplicationHelpers\ApplicationHelpers</v>
      </c>
    </row>
    <row r="77" spans="1:10" x14ac:dyDescent="0.25">
      <c r="A77" s="10" t="s">
        <v>31</v>
      </c>
      <c r="B77" s="10" t="str">
        <f>[1]!GetFolder(A77)</f>
        <v>C:\Documents and Settings\DAG\My Documents\Visual Studio 2010\Projects\WizardWrx_Libs\ApplicationHelpers\ApplicationHelpers</v>
      </c>
      <c r="C77" s="10" t="str">
        <f>IF(LEN(B77)&gt;LEN(Visual_Studio_Source_Code),RIGHT(B77,LEN(B77)-LEN([1]!AddBackslash(Visual_Studio_Source_Code))),B77)</f>
        <v>WizardWrx_Libs\ApplicationHelpers\ApplicationHelpers</v>
      </c>
      <c r="D77" s="10" t="str">
        <f>[1]!GetFile(A77)</f>
        <v>ExceptionLogger.cs</v>
      </c>
      <c r="E77" s="13">
        <v>11</v>
      </c>
      <c r="F77" s="13" t="b">
        <f t="shared" si="3"/>
        <v>1</v>
      </c>
      <c r="G77" s="13"/>
      <c r="H77" s="13"/>
      <c r="I77" s="11" t="s">
        <v>213</v>
      </c>
      <c r="J77" s="16" t="str">
        <f t="shared" si="2"/>
        <v>WizardWrx_Libs\ApplicationHelpers\ApplicationHelpers</v>
      </c>
    </row>
    <row r="78" spans="1:10" x14ac:dyDescent="0.25">
      <c r="A78" s="10" t="s">
        <v>31</v>
      </c>
      <c r="B78" s="10" t="str">
        <f>[1]!GetFolder(A78)</f>
        <v>C:\Documents and Settings\DAG\My Documents\Visual Studio 2010\Projects\WizardWrx_Libs\ApplicationHelpers\ApplicationHelpers</v>
      </c>
      <c r="C78" s="10" t="str">
        <f>IF(LEN(B78)&gt;LEN(Visual_Studio_Source_Code),RIGHT(B78,LEN(B78)-LEN([1]!AddBackslash(Visual_Studio_Source_Code))),B78)</f>
        <v>WizardWrx_Libs\ApplicationHelpers\ApplicationHelpers</v>
      </c>
      <c r="D78" s="10" t="str">
        <f>[1]!GetFile(A78)</f>
        <v>ExceptionLogger.cs</v>
      </c>
      <c r="E78" s="13">
        <v>70</v>
      </c>
      <c r="F78" s="13" t="b">
        <f t="shared" si="3"/>
        <v>1</v>
      </c>
      <c r="G78" s="13"/>
      <c r="H78" s="13"/>
      <c r="I78" s="11" t="s">
        <v>214</v>
      </c>
      <c r="J78" s="16" t="str">
        <f t="shared" si="2"/>
        <v>WizardWrx_Libs\ApplicationHelpers\ApplicationHelpers</v>
      </c>
    </row>
    <row r="79" spans="1:10" x14ac:dyDescent="0.25">
      <c r="A79" s="10" t="s">
        <v>31</v>
      </c>
      <c r="B79" s="10" t="str">
        <f>[1]!GetFolder(A79)</f>
        <v>C:\Documents and Settings\DAG\My Documents\Visual Studio 2010\Projects\WizardWrx_Libs\ApplicationHelpers\ApplicationHelpers</v>
      </c>
      <c r="C79" s="10" t="str">
        <f>IF(LEN(B79)&gt;LEN(Visual_Studio_Source_Code),RIGHT(B79,LEN(B79)-LEN([1]!AddBackslash(Visual_Studio_Source_Code))),B79)</f>
        <v>WizardWrx_Libs\ApplicationHelpers\ApplicationHelpers</v>
      </c>
      <c r="D79" s="10" t="str">
        <f>[1]!GetFile(A79)</f>
        <v>ExceptionLogger.cs</v>
      </c>
      <c r="E79" s="13">
        <v>160</v>
      </c>
      <c r="F79" s="13" t="b">
        <f t="shared" si="3"/>
        <v>1</v>
      </c>
      <c r="G79" s="13"/>
      <c r="H79" s="13"/>
      <c r="I79" s="11" t="s">
        <v>215</v>
      </c>
      <c r="J79" s="16" t="str">
        <f t="shared" si="2"/>
        <v>WizardWrx_Libs\ApplicationHelpers\ApplicationHelpers</v>
      </c>
    </row>
    <row r="80" spans="1:10" x14ac:dyDescent="0.25">
      <c r="A80" s="10" t="s">
        <v>31</v>
      </c>
      <c r="B80" s="10" t="str">
        <f>[1]!GetFolder(A80)</f>
        <v>C:\Documents and Settings\DAG\My Documents\Visual Studio 2010\Projects\WizardWrx_Libs\ApplicationHelpers\ApplicationHelpers</v>
      </c>
      <c r="C80" s="10" t="str">
        <f>IF(LEN(B80)&gt;LEN(Visual_Studio_Source_Code),RIGHT(B80,LEN(B80)-LEN([1]!AddBackslash(Visual_Studio_Source_Code))),B80)</f>
        <v>WizardWrx_Libs\ApplicationHelpers\ApplicationHelpers</v>
      </c>
      <c r="D80" s="10" t="str">
        <f>[1]!GetFile(A80)</f>
        <v>ExceptionLogger.cs</v>
      </c>
      <c r="E80" s="13">
        <v>197</v>
      </c>
      <c r="F80" s="13" t="b">
        <f t="shared" si="3"/>
        <v>1</v>
      </c>
      <c r="G80" s="13"/>
      <c r="H80" s="13"/>
      <c r="I80" s="11" t="s">
        <v>216</v>
      </c>
      <c r="J80" s="16" t="str">
        <f t="shared" si="2"/>
        <v>WizardWrx_Libs\ApplicationHelpers\ApplicationHelpers</v>
      </c>
    </row>
    <row r="81" spans="1:10" x14ac:dyDescent="0.25">
      <c r="A81" s="10" t="s">
        <v>31</v>
      </c>
      <c r="B81" s="10" t="str">
        <f>[1]!GetFolder(A81)</f>
        <v>C:\Documents and Settings\DAG\My Documents\Visual Studio 2010\Projects\WizardWrx_Libs\ApplicationHelpers\ApplicationHelpers</v>
      </c>
      <c r="C81" s="10" t="str">
        <f>IF(LEN(B81)&gt;LEN(Visual_Studio_Source_Code),RIGHT(B81,LEN(B81)-LEN([1]!AddBackslash(Visual_Studio_Source_Code))),B81)</f>
        <v>WizardWrx_Libs\ApplicationHelpers\ApplicationHelpers</v>
      </c>
      <c r="D81" s="10" t="str">
        <f>[1]!GetFile(A81)</f>
        <v>ExceptionLogger.cs</v>
      </c>
      <c r="E81" s="13">
        <v>534</v>
      </c>
      <c r="F81" s="13" t="b">
        <f t="shared" si="3"/>
        <v>1</v>
      </c>
      <c r="G81" s="13"/>
      <c r="H81" s="13"/>
      <c r="I81" s="11" t="s">
        <v>217</v>
      </c>
      <c r="J81" s="16" t="str">
        <f t="shared" si="2"/>
        <v>WizardWrx_Libs\ApplicationHelpers\ApplicationHelpers</v>
      </c>
    </row>
    <row r="82" spans="1:10" x14ac:dyDescent="0.25">
      <c r="A82" s="10" t="s">
        <v>31</v>
      </c>
      <c r="B82" s="10" t="str">
        <f>[1]!GetFolder(A82)</f>
        <v>C:\Documents and Settings\DAG\My Documents\Visual Studio 2010\Projects\WizardWrx_Libs\ApplicationHelpers\ApplicationHelpers</v>
      </c>
      <c r="C82" s="10" t="str">
        <f>IF(LEN(B82)&gt;LEN(Visual_Studio_Source_Code),RIGHT(B82,LEN(B82)-LEN([1]!AddBackslash(Visual_Studio_Source_Code))),B82)</f>
        <v>WizardWrx_Libs\ApplicationHelpers\ApplicationHelpers</v>
      </c>
      <c r="D82" s="10" t="str">
        <f>[1]!GetFile(A82)</f>
        <v>ExceptionLogger.cs</v>
      </c>
      <c r="E82" s="13">
        <v>536</v>
      </c>
      <c r="F82" s="13" t="b">
        <f t="shared" si="3"/>
        <v>1</v>
      </c>
      <c r="G82" s="13"/>
      <c r="H82" s="13"/>
      <c r="I82" s="11" t="s">
        <v>218</v>
      </c>
      <c r="J82" s="16" t="str">
        <f t="shared" si="2"/>
        <v>WizardWrx_Libs\ApplicationHelpers\ApplicationHelpers</v>
      </c>
    </row>
    <row r="83" spans="1:10" x14ac:dyDescent="0.25">
      <c r="A83" s="10" t="s">
        <v>31</v>
      </c>
      <c r="B83" s="10" t="str">
        <f>[1]!GetFolder(A83)</f>
        <v>C:\Documents and Settings\DAG\My Documents\Visual Studio 2010\Projects\WizardWrx_Libs\ApplicationHelpers\ApplicationHelpers</v>
      </c>
      <c r="C83" s="10" t="str">
        <f>IF(LEN(B83)&gt;LEN(Visual_Studio_Source_Code),RIGHT(B83,LEN(B83)-LEN([1]!AddBackslash(Visual_Studio_Source_Code))),B83)</f>
        <v>WizardWrx_Libs\ApplicationHelpers\ApplicationHelpers</v>
      </c>
      <c r="D83" s="10" t="str">
        <f>[1]!GetFile(A83)</f>
        <v>ExceptionLogger.cs</v>
      </c>
      <c r="E83" s="13">
        <v>554</v>
      </c>
      <c r="F83" s="13" t="b">
        <f t="shared" si="3"/>
        <v>1</v>
      </c>
      <c r="G83" s="13"/>
      <c r="H83" s="13"/>
      <c r="I83" s="11" t="s">
        <v>219</v>
      </c>
      <c r="J83" s="16" t="str">
        <f t="shared" si="2"/>
        <v>WizardWrx_Libs\ApplicationHelpers\ApplicationHelpers</v>
      </c>
    </row>
    <row r="84" spans="1:10" x14ac:dyDescent="0.25">
      <c r="A84" s="10" t="s">
        <v>31</v>
      </c>
      <c r="B84" s="10" t="str">
        <f>[1]!GetFolder(A84)</f>
        <v>C:\Documents and Settings\DAG\My Documents\Visual Studio 2010\Projects\WizardWrx_Libs\ApplicationHelpers\ApplicationHelpers</v>
      </c>
      <c r="C84" s="10" t="str">
        <f>IF(LEN(B84)&gt;LEN(Visual_Studio_Source_Code),RIGHT(B84,LEN(B84)-LEN([1]!AddBackslash(Visual_Studio_Source_Code))),B84)</f>
        <v>WizardWrx_Libs\ApplicationHelpers\ApplicationHelpers</v>
      </c>
      <c r="D84" s="10" t="str">
        <f>[1]!GetFile(A84)</f>
        <v>ExceptionLogger.cs</v>
      </c>
      <c r="E84" s="13">
        <v>559</v>
      </c>
      <c r="F84" s="13" t="b">
        <f t="shared" si="3"/>
        <v>1</v>
      </c>
      <c r="G84" s="13"/>
      <c r="H84" s="13"/>
      <c r="I84" s="11" t="s">
        <v>220</v>
      </c>
      <c r="J84" s="16" t="str">
        <f t="shared" si="2"/>
        <v>WizardWrx_Libs\ApplicationHelpers\ApplicationHelpers</v>
      </c>
    </row>
    <row r="85" spans="1:10" x14ac:dyDescent="0.25">
      <c r="A85" s="10" t="s">
        <v>31</v>
      </c>
      <c r="B85" s="10" t="str">
        <f>[1]!GetFolder(A85)</f>
        <v>C:\Documents and Settings\DAG\My Documents\Visual Studio 2010\Projects\WizardWrx_Libs\ApplicationHelpers\ApplicationHelpers</v>
      </c>
      <c r="C85" s="10" t="str">
        <f>IF(LEN(B85)&gt;LEN(Visual_Studio_Source_Code),RIGHT(B85,LEN(B85)-LEN([1]!AddBackslash(Visual_Studio_Source_Code))),B85)</f>
        <v>WizardWrx_Libs\ApplicationHelpers\ApplicationHelpers</v>
      </c>
      <c r="D85" s="10" t="str">
        <f>[1]!GetFile(A85)</f>
        <v>ExceptionLogger.cs</v>
      </c>
      <c r="E85" s="13">
        <v>563</v>
      </c>
      <c r="F85" s="13" t="b">
        <f t="shared" si="3"/>
        <v>1</v>
      </c>
      <c r="G85" s="13"/>
      <c r="H85" s="13"/>
      <c r="I85" s="11" t="s">
        <v>221</v>
      </c>
      <c r="J85" s="16" t="str">
        <f t="shared" si="2"/>
        <v>WizardWrx_Libs\ApplicationHelpers\ApplicationHelpers</v>
      </c>
    </row>
    <row r="86" spans="1:10" x14ac:dyDescent="0.25">
      <c r="A86" s="10" t="s">
        <v>31</v>
      </c>
      <c r="B86" s="10" t="str">
        <f>[1]!GetFolder(A86)</f>
        <v>C:\Documents and Settings\DAG\My Documents\Visual Studio 2010\Projects\WizardWrx_Libs\ApplicationHelpers\ApplicationHelpers</v>
      </c>
      <c r="C86" s="10" t="str">
        <f>IF(LEN(B86)&gt;LEN(Visual_Studio_Source_Code),RIGHT(B86,LEN(B86)-LEN([1]!AddBackslash(Visual_Studio_Source_Code))),B86)</f>
        <v>WizardWrx_Libs\ApplicationHelpers\ApplicationHelpers</v>
      </c>
      <c r="D86" s="10" t="str">
        <f>[1]!GetFile(A86)</f>
        <v>ExceptionLogger.cs</v>
      </c>
      <c r="E86" s="13">
        <v>573</v>
      </c>
      <c r="F86" s="13" t="b">
        <f t="shared" si="3"/>
        <v>1</v>
      </c>
      <c r="G86" s="13"/>
      <c r="H86" s="13"/>
      <c r="I86" s="11" t="s">
        <v>222</v>
      </c>
      <c r="J86" s="16" t="str">
        <f t="shared" si="2"/>
        <v>WizardWrx_Libs\ApplicationHelpers\ApplicationHelpers</v>
      </c>
    </row>
    <row r="87" spans="1:10" x14ac:dyDescent="0.25">
      <c r="A87" s="10" t="s">
        <v>31</v>
      </c>
      <c r="B87" s="10" t="str">
        <f>[1]!GetFolder(A87)</f>
        <v>C:\Documents and Settings\DAG\My Documents\Visual Studio 2010\Projects\WizardWrx_Libs\ApplicationHelpers\ApplicationHelpers</v>
      </c>
      <c r="C87" s="10" t="str">
        <f>IF(LEN(B87)&gt;LEN(Visual_Studio_Source_Code),RIGHT(B87,LEN(B87)-LEN([1]!AddBackslash(Visual_Studio_Source_Code))),B87)</f>
        <v>WizardWrx_Libs\ApplicationHelpers\ApplicationHelpers</v>
      </c>
      <c r="D87" s="10" t="str">
        <f>[1]!GetFile(A87)</f>
        <v>ExceptionLogger.cs</v>
      </c>
      <c r="E87" s="13">
        <v>614</v>
      </c>
      <c r="F87" s="13" t="b">
        <f t="shared" si="3"/>
        <v>1</v>
      </c>
      <c r="G87" s="13"/>
      <c r="H87" s="13"/>
      <c r="I87" s="11" t="s">
        <v>223</v>
      </c>
      <c r="J87" s="16" t="str">
        <f t="shared" si="2"/>
        <v>WizardWrx_Libs\ApplicationHelpers\ApplicationHelpers</v>
      </c>
    </row>
    <row r="88" spans="1:10" x14ac:dyDescent="0.25">
      <c r="A88" s="10" t="s">
        <v>31</v>
      </c>
      <c r="B88" s="10" t="str">
        <f>[1]!GetFolder(A88)</f>
        <v>C:\Documents and Settings\DAG\My Documents\Visual Studio 2010\Projects\WizardWrx_Libs\ApplicationHelpers\ApplicationHelpers</v>
      </c>
      <c r="C88" s="10" t="str">
        <f>IF(LEN(B88)&gt;LEN(Visual_Studio_Source_Code),RIGHT(B88,LEN(B88)-LEN([1]!AddBackslash(Visual_Studio_Source_Code))),B88)</f>
        <v>WizardWrx_Libs\ApplicationHelpers\ApplicationHelpers</v>
      </c>
      <c r="D88" s="10" t="str">
        <f>[1]!GetFile(A88)</f>
        <v>ExceptionLogger.cs</v>
      </c>
      <c r="E88" s="13">
        <v>619</v>
      </c>
      <c r="F88" s="13" t="b">
        <f t="shared" si="3"/>
        <v>1</v>
      </c>
      <c r="G88" s="13"/>
      <c r="H88" s="13"/>
      <c r="I88" s="11" t="s">
        <v>224</v>
      </c>
      <c r="J88" s="16" t="str">
        <f t="shared" si="2"/>
        <v>WizardWrx_Libs\ApplicationHelpers\ApplicationHelpers</v>
      </c>
    </row>
    <row r="89" spans="1:10" x14ac:dyDescent="0.25">
      <c r="A89" s="10" t="s">
        <v>31</v>
      </c>
      <c r="B89" s="10" t="str">
        <f>[1]!GetFolder(A89)</f>
        <v>C:\Documents and Settings\DAG\My Documents\Visual Studio 2010\Projects\WizardWrx_Libs\ApplicationHelpers\ApplicationHelpers</v>
      </c>
      <c r="C89" s="10" t="str">
        <f>IF(LEN(B89)&gt;LEN(Visual_Studio_Source_Code),RIGHT(B89,LEN(B89)-LEN([1]!AddBackslash(Visual_Studio_Source_Code))),B89)</f>
        <v>WizardWrx_Libs\ApplicationHelpers\ApplicationHelpers</v>
      </c>
      <c r="D89" s="10" t="str">
        <f>[1]!GetFile(A89)</f>
        <v>ExceptionLogger.cs</v>
      </c>
      <c r="E89" s="13">
        <v>638</v>
      </c>
      <c r="F89" s="13" t="b">
        <f t="shared" si="3"/>
        <v>1</v>
      </c>
      <c r="G89" s="13"/>
      <c r="H89" s="13"/>
      <c r="I89" s="11" t="s">
        <v>225</v>
      </c>
      <c r="J89" s="16" t="str">
        <f t="shared" si="2"/>
        <v>WizardWrx_Libs\ApplicationHelpers\ApplicationHelpers</v>
      </c>
    </row>
    <row r="90" spans="1:10" x14ac:dyDescent="0.25">
      <c r="A90" s="10" t="s">
        <v>31</v>
      </c>
      <c r="B90" s="10" t="str">
        <f>[1]!GetFolder(A90)</f>
        <v>C:\Documents and Settings\DAG\My Documents\Visual Studio 2010\Projects\WizardWrx_Libs\ApplicationHelpers\ApplicationHelpers</v>
      </c>
      <c r="C90" s="10" t="str">
        <f>IF(LEN(B90)&gt;LEN(Visual_Studio_Source_Code),RIGHT(B90,LEN(B90)-LEN([1]!AddBackslash(Visual_Studio_Source_Code))),B90)</f>
        <v>WizardWrx_Libs\ApplicationHelpers\ApplicationHelpers</v>
      </c>
      <c r="D90" s="10" t="str">
        <f>[1]!GetFile(A90)</f>
        <v>ExceptionLogger.cs</v>
      </c>
      <c r="E90" s="13">
        <v>649</v>
      </c>
      <c r="F90" s="13" t="b">
        <f t="shared" si="3"/>
        <v>1</v>
      </c>
      <c r="G90" s="13"/>
      <c r="H90" s="13"/>
      <c r="I90" s="11" t="s">
        <v>226</v>
      </c>
      <c r="J90" s="16" t="str">
        <f t="shared" si="2"/>
        <v>WizardWrx_Libs\ApplicationHelpers\ApplicationHelpers</v>
      </c>
    </row>
    <row r="91" spans="1:10" x14ac:dyDescent="0.25">
      <c r="A91" s="10" t="s">
        <v>31</v>
      </c>
      <c r="B91" s="10" t="str">
        <f>[1]!GetFolder(A91)</f>
        <v>C:\Documents and Settings\DAG\My Documents\Visual Studio 2010\Projects\WizardWrx_Libs\ApplicationHelpers\ApplicationHelpers</v>
      </c>
      <c r="C91" s="10" t="str">
        <f>IF(LEN(B91)&gt;LEN(Visual_Studio_Source_Code),RIGHT(B91,LEN(B91)-LEN([1]!AddBackslash(Visual_Studio_Source_Code))),B91)</f>
        <v>WizardWrx_Libs\ApplicationHelpers\ApplicationHelpers</v>
      </c>
      <c r="D91" s="10" t="str">
        <f>[1]!GetFile(A91)</f>
        <v>ExceptionLogger.cs</v>
      </c>
      <c r="E91" s="13">
        <v>663</v>
      </c>
      <c r="F91" s="13" t="b">
        <f t="shared" si="3"/>
        <v>1</v>
      </c>
      <c r="G91" s="13"/>
      <c r="H91" s="13"/>
      <c r="I91" s="11" t="s">
        <v>227</v>
      </c>
      <c r="J91" s="16" t="str">
        <f t="shared" si="2"/>
        <v>WizardWrx_Libs\ApplicationHelpers\ApplicationHelpers</v>
      </c>
    </row>
    <row r="92" spans="1:10" x14ac:dyDescent="0.25">
      <c r="A92" s="10" t="s">
        <v>31</v>
      </c>
      <c r="B92" s="10" t="str">
        <f>[1]!GetFolder(A92)</f>
        <v>C:\Documents and Settings\DAG\My Documents\Visual Studio 2010\Projects\WizardWrx_Libs\ApplicationHelpers\ApplicationHelpers</v>
      </c>
      <c r="C92" s="10" t="str">
        <f>IF(LEN(B92)&gt;LEN(Visual_Studio_Source_Code),RIGHT(B92,LEN(B92)-LEN([1]!AddBackslash(Visual_Studio_Source_Code))),B92)</f>
        <v>WizardWrx_Libs\ApplicationHelpers\ApplicationHelpers</v>
      </c>
      <c r="D92" s="10" t="str">
        <f>[1]!GetFile(A92)</f>
        <v>ExceptionLogger.cs</v>
      </c>
      <c r="E92" s="13">
        <v>665</v>
      </c>
      <c r="F92" s="13" t="b">
        <f t="shared" si="3"/>
        <v>1</v>
      </c>
      <c r="G92" s="13"/>
      <c r="H92" s="13"/>
      <c r="I92" s="11" t="s">
        <v>228</v>
      </c>
      <c r="J92" s="16" t="str">
        <f t="shared" si="2"/>
        <v>WizardWrx_Libs\ApplicationHelpers\ApplicationHelpers</v>
      </c>
    </row>
    <row r="93" spans="1:10" x14ac:dyDescent="0.25">
      <c r="A93" s="10" t="s">
        <v>31</v>
      </c>
      <c r="B93" s="10" t="str">
        <f>[1]!GetFolder(A93)</f>
        <v>C:\Documents and Settings\DAG\My Documents\Visual Studio 2010\Projects\WizardWrx_Libs\ApplicationHelpers\ApplicationHelpers</v>
      </c>
      <c r="C93" s="10" t="str">
        <f>IF(LEN(B93)&gt;LEN(Visual_Studio_Source_Code),RIGHT(B93,LEN(B93)-LEN([1]!AddBackslash(Visual_Studio_Source_Code))),B93)</f>
        <v>WizardWrx_Libs\ApplicationHelpers\ApplicationHelpers</v>
      </c>
      <c r="D93" s="10" t="str">
        <f>[1]!GetFile(A93)</f>
        <v>ExceptionLogger.cs</v>
      </c>
      <c r="E93" s="13">
        <v>670</v>
      </c>
      <c r="F93" s="13" t="b">
        <f t="shared" si="3"/>
        <v>1</v>
      </c>
      <c r="G93" s="13"/>
      <c r="H93" s="13"/>
      <c r="I93" s="11" t="s">
        <v>229</v>
      </c>
      <c r="J93" s="16" t="str">
        <f t="shared" si="2"/>
        <v>WizardWrx_Libs\ApplicationHelpers\ApplicationHelpers</v>
      </c>
    </row>
    <row r="94" spans="1:10" x14ac:dyDescent="0.25">
      <c r="A94" s="10" t="s">
        <v>31</v>
      </c>
      <c r="B94" s="10" t="str">
        <f>[1]!GetFolder(A94)</f>
        <v>C:\Documents and Settings\DAG\My Documents\Visual Studio 2010\Projects\WizardWrx_Libs\ApplicationHelpers\ApplicationHelpers</v>
      </c>
      <c r="C94" s="10" t="str">
        <f>IF(LEN(B94)&gt;LEN(Visual_Studio_Source_Code),RIGHT(B94,LEN(B94)-LEN([1]!AddBackslash(Visual_Studio_Source_Code))),B94)</f>
        <v>WizardWrx_Libs\ApplicationHelpers\ApplicationHelpers</v>
      </c>
      <c r="D94" s="10" t="str">
        <f>[1]!GetFile(A94)</f>
        <v>ExceptionLogger.cs</v>
      </c>
      <c r="E94" s="13">
        <v>675</v>
      </c>
      <c r="F94" s="13" t="b">
        <f t="shared" si="3"/>
        <v>1</v>
      </c>
      <c r="G94" s="13"/>
      <c r="H94" s="13"/>
      <c r="I94" s="11" t="s">
        <v>226</v>
      </c>
      <c r="J94" s="16" t="str">
        <f t="shared" si="2"/>
        <v>WizardWrx_Libs\ApplicationHelpers\ApplicationHelpers</v>
      </c>
    </row>
    <row r="95" spans="1:10" x14ac:dyDescent="0.25">
      <c r="A95" s="10" t="s">
        <v>31</v>
      </c>
      <c r="B95" s="10" t="str">
        <f>[1]!GetFolder(A95)</f>
        <v>C:\Documents and Settings\DAG\My Documents\Visual Studio 2010\Projects\WizardWrx_Libs\ApplicationHelpers\ApplicationHelpers</v>
      </c>
      <c r="C95" s="10" t="str">
        <f>IF(LEN(B95)&gt;LEN(Visual_Studio_Source_Code),RIGHT(B95,LEN(B95)-LEN([1]!AddBackslash(Visual_Studio_Source_Code))),B95)</f>
        <v>WizardWrx_Libs\ApplicationHelpers\ApplicationHelpers</v>
      </c>
      <c r="D95" s="10" t="str">
        <f>[1]!GetFile(A95)</f>
        <v>ExceptionLogger.cs</v>
      </c>
      <c r="E95" s="13">
        <v>690</v>
      </c>
      <c r="F95" s="13" t="b">
        <f t="shared" si="3"/>
        <v>1</v>
      </c>
      <c r="G95" s="13"/>
      <c r="H95" s="13"/>
      <c r="I95" s="11" t="s">
        <v>230</v>
      </c>
      <c r="J95" s="16" t="str">
        <f t="shared" si="2"/>
        <v>WizardWrx_Libs\ApplicationHelpers\ApplicationHelpers</v>
      </c>
    </row>
    <row r="96" spans="1:10" x14ac:dyDescent="0.25">
      <c r="A96" s="10" t="s">
        <v>31</v>
      </c>
      <c r="B96" s="10" t="str">
        <f>[1]!GetFolder(A96)</f>
        <v>C:\Documents and Settings\DAG\My Documents\Visual Studio 2010\Projects\WizardWrx_Libs\ApplicationHelpers\ApplicationHelpers</v>
      </c>
      <c r="C96" s="10" t="str">
        <f>IF(LEN(B96)&gt;LEN(Visual_Studio_Source_Code),RIGHT(B96,LEN(B96)-LEN([1]!AddBackslash(Visual_Studio_Source_Code))),B96)</f>
        <v>WizardWrx_Libs\ApplicationHelpers\ApplicationHelpers</v>
      </c>
      <c r="D96" s="10" t="str">
        <f>[1]!GetFile(A96)</f>
        <v>ExceptionLogger.cs</v>
      </c>
      <c r="E96" s="13">
        <v>694</v>
      </c>
      <c r="F96" s="13" t="b">
        <f t="shared" si="3"/>
        <v>1</v>
      </c>
      <c r="G96" s="13"/>
      <c r="H96" s="13"/>
      <c r="I96" s="11" t="s">
        <v>228</v>
      </c>
      <c r="J96" s="16" t="str">
        <f t="shared" si="2"/>
        <v>WizardWrx_Libs\ApplicationHelpers\ApplicationHelpers</v>
      </c>
    </row>
    <row r="97" spans="1:10" x14ac:dyDescent="0.25">
      <c r="A97" s="10" t="s">
        <v>31</v>
      </c>
      <c r="B97" s="10" t="str">
        <f>[1]!GetFolder(A97)</f>
        <v>C:\Documents and Settings\DAG\My Documents\Visual Studio 2010\Projects\WizardWrx_Libs\ApplicationHelpers\ApplicationHelpers</v>
      </c>
      <c r="C97" s="10" t="str">
        <f>IF(LEN(B97)&gt;LEN(Visual_Studio_Source_Code),RIGHT(B97,LEN(B97)-LEN([1]!AddBackslash(Visual_Studio_Source_Code))),B97)</f>
        <v>WizardWrx_Libs\ApplicationHelpers\ApplicationHelpers</v>
      </c>
      <c r="D97" s="10" t="str">
        <f>[1]!GetFile(A97)</f>
        <v>ExceptionLogger.cs</v>
      </c>
      <c r="E97" s="13">
        <v>700</v>
      </c>
      <c r="F97" s="13" t="b">
        <f t="shared" si="3"/>
        <v>1</v>
      </c>
      <c r="G97" s="13"/>
      <c r="H97" s="13"/>
      <c r="I97" s="11" t="s">
        <v>231</v>
      </c>
      <c r="J97" s="16" t="str">
        <f t="shared" si="2"/>
        <v>WizardWrx_Libs\ApplicationHelpers\ApplicationHelpers</v>
      </c>
    </row>
    <row r="98" spans="1:10" x14ac:dyDescent="0.25">
      <c r="A98" s="10" t="s">
        <v>31</v>
      </c>
      <c r="B98" s="10" t="str">
        <f>[1]!GetFolder(A98)</f>
        <v>C:\Documents and Settings\DAG\My Documents\Visual Studio 2010\Projects\WizardWrx_Libs\ApplicationHelpers\ApplicationHelpers</v>
      </c>
      <c r="C98" s="10" t="str">
        <f>IF(LEN(B98)&gt;LEN(Visual_Studio_Source_Code),RIGHT(B98,LEN(B98)-LEN([1]!AddBackslash(Visual_Studio_Source_Code))),B98)</f>
        <v>WizardWrx_Libs\ApplicationHelpers\ApplicationHelpers</v>
      </c>
      <c r="D98" s="10" t="str">
        <f>[1]!GetFile(A98)</f>
        <v>ExceptionLogger.cs</v>
      </c>
      <c r="E98" s="13">
        <v>705</v>
      </c>
      <c r="F98" s="13" t="b">
        <f t="shared" si="3"/>
        <v>1</v>
      </c>
      <c r="G98" s="13"/>
      <c r="H98" s="13"/>
      <c r="I98" s="11" t="s">
        <v>232</v>
      </c>
      <c r="J98" s="16" t="str">
        <f t="shared" si="2"/>
        <v>WizardWrx_Libs\ApplicationHelpers\ApplicationHelpers</v>
      </c>
    </row>
    <row r="99" spans="1:10" x14ac:dyDescent="0.25">
      <c r="A99" s="10" t="s">
        <v>31</v>
      </c>
      <c r="B99" s="10" t="str">
        <f>[1]!GetFolder(A99)</f>
        <v>C:\Documents and Settings\DAG\My Documents\Visual Studio 2010\Projects\WizardWrx_Libs\ApplicationHelpers\ApplicationHelpers</v>
      </c>
      <c r="C99" s="10" t="str">
        <f>IF(LEN(B99)&gt;LEN(Visual_Studio_Source_Code),RIGHT(B99,LEN(B99)-LEN([1]!AddBackslash(Visual_Studio_Source_Code))),B99)</f>
        <v>WizardWrx_Libs\ApplicationHelpers\ApplicationHelpers</v>
      </c>
      <c r="D99" s="10" t="str">
        <f>[1]!GetFile(A99)</f>
        <v>ExceptionLogger.cs</v>
      </c>
      <c r="E99" s="13">
        <v>729</v>
      </c>
      <c r="F99" s="13" t="b">
        <f t="shared" si="3"/>
        <v>1</v>
      </c>
      <c r="G99" s="13"/>
      <c r="H99" s="13"/>
      <c r="I99" s="11" t="s">
        <v>230</v>
      </c>
      <c r="J99" s="16" t="str">
        <f t="shared" si="2"/>
        <v>WizardWrx_Libs\ApplicationHelpers\ApplicationHelpers</v>
      </c>
    </row>
    <row r="100" spans="1:10" x14ac:dyDescent="0.25">
      <c r="A100" s="10" t="s">
        <v>31</v>
      </c>
      <c r="B100" s="10" t="str">
        <f>[1]!GetFolder(A100)</f>
        <v>C:\Documents and Settings\DAG\My Documents\Visual Studio 2010\Projects\WizardWrx_Libs\ApplicationHelpers\ApplicationHelpers</v>
      </c>
      <c r="C100" s="10" t="str">
        <f>IF(LEN(B100)&gt;LEN(Visual_Studio_Source_Code),RIGHT(B100,LEN(B100)-LEN([1]!AddBackslash(Visual_Studio_Source_Code))),B100)</f>
        <v>WizardWrx_Libs\ApplicationHelpers\ApplicationHelpers</v>
      </c>
      <c r="D100" s="10" t="str">
        <f>[1]!GetFile(A100)</f>
        <v>ExceptionLogger.cs</v>
      </c>
      <c r="E100" s="13">
        <v>734</v>
      </c>
      <c r="F100" s="13" t="b">
        <f t="shared" si="3"/>
        <v>1</v>
      </c>
      <c r="G100" s="13"/>
      <c r="H100" s="13"/>
      <c r="I100" s="11" t="s">
        <v>228</v>
      </c>
      <c r="J100" s="16" t="str">
        <f t="shared" si="2"/>
        <v>WizardWrx_Libs\ApplicationHelpers\ApplicationHelpers</v>
      </c>
    </row>
    <row r="101" spans="1:10" x14ac:dyDescent="0.25">
      <c r="A101" s="10" t="s">
        <v>31</v>
      </c>
      <c r="B101" s="10" t="str">
        <f>[1]!GetFolder(A101)</f>
        <v>C:\Documents and Settings\DAG\My Documents\Visual Studio 2010\Projects\WizardWrx_Libs\ApplicationHelpers\ApplicationHelpers</v>
      </c>
      <c r="C101" s="10" t="str">
        <f>IF(LEN(B101)&gt;LEN(Visual_Studio_Source_Code),RIGHT(B101,LEN(B101)-LEN([1]!AddBackslash(Visual_Studio_Source_Code))),B101)</f>
        <v>WizardWrx_Libs\ApplicationHelpers\ApplicationHelpers</v>
      </c>
      <c r="D101" s="10" t="str">
        <f>[1]!GetFile(A101)</f>
        <v>ExceptionLogger.cs</v>
      </c>
      <c r="E101" s="13">
        <v>741</v>
      </c>
      <c r="F101" s="13" t="b">
        <f t="shared" si="3"/>
        <v>1</v>
      </c>
      <c r="G101" s="13"/>
      <c r="H101" s="13"/>
      <c r="I101" s="11" t="s">
        <v>233</v>
      </c>
      <c r="J101" s="16" t="str">
        <f t="shared" si="2"/>
        <v>WizardWrx_Libs\ApplicationHelpers\ApplicationHelpers</v>
      </c>
    </row>
    <row r="102" spans="1:10" x14ac:dyDescent="0.25">
      <c r="A102" s="10" t="s">
        <v>31</v>
      </c>
      <c r="B102" s="10" t="str">
        <f>[1]!GetFolder(A102)</f>
        <v>C:\Documents and Settings\DAG\My Documents\Visual Studio 2010\Projects\WizardWrx_Libs\ApplicationHelpers\ApplicationHelpers</v>
      </c>
      <c r="C102" s="10" t="str">
        <f>IF(LEN(B102)&gt;LEN(Visual_Studio_Source_Code),RIGHT(B102,LEN(B102)-LEN([1]!AddBackslash(Visual_Studio_Source_Code))),B102)</f>
        <v>WizardWrx_Libs\ApplicationHelpers\ApplicationHelpers</v>
      </c>
      <c r="D102" s="10" t="str">
        <f>[1]!GetFile(A102)</f>
        <v>ExceptionLogger.cs</v>
      </c>
      <c r="E102" s="13">
        <v>746</v>
      </c>
      <c r="F102" s="13" t="b">
        <f t="shared" si="3"/>
        <v>1</v>
      </c>
      <c r="G102" s="13"/>
      <c r="H102" s="13"/>
      <c r="I102" s="11" t="s">
        <v>232</v>
      </c>
      <c r="J102" s="16" t="str">
        <f t="shared" si="2"/>
        <v>WizardWrx_Libs\ApplicationHelpers\ApplicationHelpers</v>
      </c>
    </row>
    <row r="103" spans="1:10" x14ac:dyDescent="0.25">
      <c r="A103" s="10" t="s">
        <v>31</v>
      </c>
      <c r="B103" s="10" t="str">
        <f>[1]!GetFolder(A103)</f>
        <v>C:\Documents and Settings\DAG\My Documents\Visual Studio 2010\Projects\WizardWrx_Libs\ApplicationHelpers\ApplicationHelpers</v>
      </c>
      <c r="C103" s="10" t="str">
        <f>IF(LEN(B103)&gt;LEN(Visual_Studio_Source_Code),RIGHT(B103,LEN(B103)-LEN([1]!AddBackslash(Visual_Studio_Source_Code))),B103)</f>
        <v>WizardWrx_Libs\ApplicationHelpers\ApplicationHelpers</v>
      </c>
      <c r="D103" s="10" t="str">
        <f>[1]!GetFile(A103)</f>
        <v>ExceptionLogger.cs</v>
      </c>
      <c r="E103" s="13">
        <v>775</v>
      </c>
      <c r="F103" s="13" t="b">
        <f t="shared" si="3"/>
        <v>1</v>
      </c>
      <c r="G103" s="13"/>
      <c r="H103" s="13"/>
      <c r="I103" s="11" t="s">
        <v>230</v>
      </c>
      <c r="J103" s="16" t="str">
        <f t="shared" si="2"/>
        <v>WizardWrx_Libs\ApplicationHelpers\ApplicationHelpers</v>
      </c>
    </row>
    <row r="104" spans="1:10" x14ac:dyDescent="0.25">
      <c r="A104" s="10" t="s">
        <v>31</v>
      </c>
      <c r="B104" s="10" t="str">
        <f>[1]!GetFolder(A104)</f>
        <v>C:\Documents and Settings\DAG\My Documents\Visual Studio 2010\Projects\WizardWrx_Libs\ApplicationHelpers\ApplicationHelpers</v>
      </c>
      <c r="C104" s="10" t="str">
        <f>IF(LEN(B104)&gt;LEN(Visual_Studio_Source_Code),RIGHT(B104,LEN(B104)-LEN([1]!AddBackslash(Visual_Studio_Source_Code))),B104)</f>
        <v>WizardWrx_Libs\ApplicationHelpers\ApplicationHelpers</v>
      </c>
      <c r="D104" s="10" t="str">
        <f>[1]!GetFile(A104)</f>
        <v>ExceptionLogger.cs</v>
      </c>
      <c r="E104" s="13">
        <v>781</v>
      </c>
      <c r="F104" s="13" t="b">
        <f t="shared" si="3"/>
        <v>1</v>
      </c>
      <c r="G104" s="13"/>
      <c r="H104" s="13"/>
      <c r="I104" s="11" t="s">
        <v>228</v>
      </c>
      <c r="J104" s="16" t="str">
        <f t="shared" si="2"/>
        <v>WizardWrx_Libs\ApplicationHelpers\ApplicationHelpers</v>
      </c>
    </row>
    <row r="105" spans="1:10" x14ac:dyDescent="0.25">
      <c r="A105" s="10" t="s">
        <v>31</v>
      </c>
      <c r="B105" s="10" t="str">
        <f>[1]!GetFolder(A105)</f>
        <v>C:\Documents and Settings\DAG\My Documents\Visual Studio 2010\Projects\WizardWrx_Libs\ApplicationHelpers\ApplicationHelpers</v>
      </c>
      <c r="C105" s="10" t="str">
        <f>IF(LEN(B105)&gt;LEN(Visual_Studio_Source_Code),RIGHT(B105,LEN(B105)-LEN([1]!AddBackslash(Visual_Studio_Source_Code))),B105)</f>
        <v>WizardWrx_Libs\ApplicationHelpers\ApplicationHelpers</v>
      </c>
      <c r="D105" s="10" t="str">
        <f>[1]!GetFile(A105)</f>
        <v>ExceptionLogger.cs</v>
      </c>
      <c r="E105" s="13">
        <v>789</v>
      </c>
      <c r="F105" s="13" t="b">
        <f t="shared" si="3"/>
        <v>1</v>
      </c>
      <c r="G105" s="13"/>
      <c r="H105" s="13"/>
      <c r="I105" s="11" t="s">
        <v>234</v>
      </c>
      <c r="J105" s="16" t="str">
        <f t="shared" si="2"/>
        <v>WizardWrx_Libs\ApplicationHelpers\ApplicationHelpers</v>
      </c>
    </row>
    <row r="106" spans="1:10" x14ac:dyDescent="0.25">
      <c r="A106" s="10" t="s">
        <v>31</v>
      </c>
      <c r="B106" s="10" t="str">
        <f>[1]!GetFolder(A106)</f>
        <v>C:\Documents and Settings\DAG\My Documents\Visual Studio 2010\Projects\WizardWrx_Libs\ApplicationHelpers\ApplicationHelpers</v>
      </c>
      <c r="C106" s="10" t="str">
        <f>IF(LEN(B106)&gt;LEN(Visual_Studio_Source_Code),RIGHT(B106,LEN(B106)-LEN([1]!AddBackslash(Visual_Studio_Source_Code))),B106)</f>
        <v>WizardWrx_Libs\ApplicationHelpers\ApplicationHelpers</v>
      </c>
      <c r="D106" s="10" t="str">
        <f>[1]!GetFile(A106)</f>
        <v>ExceptionLogger.cs</v>
      </c>
      <c r="E106" s="13">
        <v>792</v>
      </c>
      <c r="F106" s="13" t="b">
        <f t="shared" si="3"/>
        <v>1</v>
      </c>
      <c r="G106" s="13"/>
      <c r="H106" s="13"/>
      <c r="I106" s="11" t="s">
        <v>226</v>
      </c>
      <c r="J106" s="16" t="str">
        <f t="shared" si="2"/>
        <v>WizardWrx_Libs\ApplicationHelpers\ApplicationHelpers</v>
      </c>
    </row>
    <row r="107" spans="1:10" x14ac:dyDescent="0.25">
      <c r="A107" s="10" t="s">
        <v>31</v>
      </c>
      <c r="B107" s="10" t="str">
        <f>[1]!GetFolder(A107)</f>
        <v>C:\Documents and Settings\DAG\My Documents\Visual Studio 2010\Projects\WizardWrx_Libs\ApplicationHelpers\ApplicationHelpers</v>
      </c>
      <c r="C107" s="10" t="str">
        <f>IF(LEN(B107)&gt;LEN(Visual_Studio_Source_Code),RIGHT(B107,LEN(B107)-LEN([1]!AddBackslash(Visual_Studio_Source_Code))),B107)</f>
        <v>WizardWrx_Libs\ApplicationHelpers\ApplicationHelpers</v>
      </c>
      <c r="D107" s="10" t="str">
        <f>[1]!GetFile(A107)</f>
        <v>ExceptionLogger.cs</v>
      </c>
      <c r="E107" s="13">
        <v>805</v>
      </c>
      <c r="F107" s="13" t="b">
        <f t="shared" si="3"/>
        <v>1</v>
      </c>
      <c r="G107" s="13"/>
      <c r="H107" s="13"/>
      <c r="I107" s="11" t="s">
        <v>230</v>
      </c>
      <c r="J107" s="16" t="str">
        <f t="shared" si="2"/>
        <v>WizardWrx_Libs\ApplicationHelpers\ApplicationHelpers</v>
      </c>
    </row>
    <row r="108" spans="1:10" x14ac:dyDescent="0.25">
      <c r="A108" s="10" t="s">
        <v>31</v>
      </c>
      <c r="B108" s="10" t="str">
        <f>[1]!GetFolder(A108)</f>
        <v>C:\Documents and Settings\DAG\My Documents\Visual Studio 2010\Projects\WizardWrx_Libs\ApplicationHelpers\ApplicationHelpers</v>
      </c>
      <c r="C108" s="10" t="str">
        <f>IF(LEN(B108)&gt;LEN(Visual_Studio_Source_Code),RIGHT(B108,LEN(B108)-LEN([1]!AddBackslash(Visual_Studio_Source_Code))),B108)</f>
        <v>WizardWrx_Libs\ApplicationHelpers\ApplicationHelpers</v>
      </c>
      <c r="D108" s="10" t="str">
        <f>[1]!GetFile(A108)</f>
        <v>ExceptionLogger.cs</v>
      </c>
      <c r="E108" s="13">
        <v>808</v>
      </c>
      <c r="F108" s="13" t="b">
        <f t="shared" si="3"/>
        <v>1</v>
      </c>
      <c r="G108" s="13"/>
      <c r="H108" s="13"/>
      <c r="I108" s="11" t="s">
        <v>228</v>
      </c>
      <c r="J108" s="16" t="str">
        <f t="shared" si="2"/>
        <v>WizardWrx_Libs\ApplicationHelpers\ApplicationHelpers</v>
      </c>
    </row>
    <row r="109" spans="1:10" x14ac:dyDescent="0.25">
      <c r="A109" s="10" t="s">
        <v>31</v>
      </c>
      <c r="B109" s="10" t="str">
        <f>[1]!GetFolder(A109)</f>
        <v>C:\Documents and Settings\DAG\My Documents\Visual Studio 2010\Projects\WizardWrx_Libs\ApplicationHelpers\ApplicationHelpers</v>
      </c>
      <c r="C109" s="10" t="str">
        <f>IF(LEN(B109)&gt;LEN(Visual_Studio_Source_Code),RIGHT(B109,LEN(B109)-LEN([1]!AddBackslash(Visual_Studio_Source_Code))),B109)</f>
        <v>WizardWrx_Libs\ApplicationHelpers\ApplicationHelpers</v>
      </c>
      <c r="D109" s="10" t="str">
        <f>[1]!GetFile(A109)</f>
        <v>ExceptionLogger.cs</v>
      </c>
      <c r="E109" s="13">
        <v>813</v>
      </c>
      <c r="F109" s="13" t="b">
        <f t="shared" si="3"/>
        <v>1</v>
      </c>
      <c r="G109" s="13"/>
      <c r="H109" s="13"/>
      <c r="I109" s="11" t="s">
        <v>235</v>
      </c>
      <c r="J109" s="16" t="str">
        <f t="shared" si="2"/>
        <v>WizardWrx_Libs\ApplicationHelpers\ApplicationHelpers</v>
      </c>
    </row>
    <row r="110" spans="1:10" x14ac:dyDescent="0.25">
      <c r="A110" s="10" t="s">
        <v>31</v>
      </c>
      <c r="B110" s="10" t="str">
        <f>[1]!GetFolder(A110)</f>
        <v>C:\Documents and Settings\DAG\My Documents\Visual Studio 2010\Projects\WizardWrx_Libs\ApplicationHelpers\ApplicationHelpers</v>
      </c>
      <c r="C110" s="10" t="str">
        <f>IF(LEN(B110)&gt;LEN(Visual_Studio_Source_Code),RIGHT(B110,LEN(B110)-LEN([1]!AddBackslash(Visual_Studio_Source_Code))),B110)</f>
        <v>WizardWrx_Libs\ApplicationHelpers\ApplicationHelpers</v>
      </c>
      <c r="D110" s="10" t="str">
        <f>[1]!GetFile(A110)</f>
        <v>ExceptionLogger.cs</v>
      </c>
      <c r="E110" s="13">
        <v>818</v>
      </c>
      <c r="F110" s="13" t="b">
        <f t="shared" si="3"/>
        <v>1</v>
      </c>
      <c r="G110" s="13"/>
      <c r="H110" s="13"/>
      <c r="I110" s="11" t="s">
        <v>226</v>
      </c>
      <c r="J110" s="16" t="str">
        <f t="shared" si="2"/>
        <v>WizardWrx_Libs\ApplicationHelpers\ApplicationHelpers</v>
      </c>
    </row>
    <row r="111" spans="1:10" x14ac:dyDescent="0.25">
      <c r="A111" s="10" t="s">
        <v>31</v>
      </c>
      <c r="B111" s="10" t="str">
        <f>[1]!GetFolder(A111)</f>
        <v>C:\Documents and Settings\DAG\My Documents\Visual Studio 2010\Projects\WizardWrx_Libs\ApplicationHelpers\ApplicationHelpers</v>
      </c>
      <c r="C111" s="10" t="str">
        <f>IF(LEN(B111)&gt;LEN(Visual_Studio_Source_Code),RIGHT(B111,LEN(B111)-LEN([1]!AddBackslash(Visual_Studio_Source_Code))),B111)</f>
        <v>WizardWrx_Libs\ApplicationHelpers\ApplicationHelpers</v>
      </c>
      <c r="D111" s="10" t="str">
        <f>[1]!GetFile(A111)</f>
        <v>ExceptionLogger.cs</v>
      </c>
      <c r="E111" s="13">
        <v>832</v>
      </c>
      <c r="F111" s="13" t="b">
        <f t="shared" si="3"/>
        <v>1</v>
      </c>
      <c r="G111" s="13"/>
      <c r="H111" s="13"/>
      <c r="I111" s="11" t="s">
        <v>230</v>
      </c>
      <c r="J111" s="16" t="str">
        <f t="shared" si="2"/>
        <v>WizardWrx_Libs\ApplicationHelpers\ApplicationHelpers</v>
      </c>
    </row>
    <row r="112" spans="1:10" x14ac:dyDescent="0.25">
      <c r="A112" s="10" t="s">
        <v>31</v>
      </c>
      <c r="B112" s="10" t="str">
        <f>[1]!GetFolder(A112)</f>
        <v>C:\Documents and Settings\DAG\My Documents\Visual Studio 2010\Projects\WizardWrx_Libs\ApplicationHelpers\ApplicationHelpers</v>
      </c>
      <c r="C112" s="10" t="str">
        <f>IF(LEN(B112)&gt;LEN(Visual_Studio_Source_Code),RIGHT(B112,LEN(B112)-LEN([1]!AddBackslash(Visual_Studio_Source_Code))),B112)</f>
        <v>WizardWrx_Libs\ApplicationHelpers\ApplicationHelpers</v>
      </c>
      <c r="D112" s="10" t="str">
        <f>[1]!GetFile(A112)</f>
        <v>ExceptionLogger.cs</v>
      </c>
      <c r="E112" s="13">
        <v>836</v>
      </c>
      <c r="F112" s="13" t="b">
        <f t="shared" si="3"/>
        <v>1</v>
      </c>
      <c r="G112" s="13"/>
      <c r="H112" s="13"/>
      <c r="I112" s="11" t="s">
        <v>228</v>
      </c>
      <c r="J112" s="16" t="str">
        <f t="shared" si="2"/>
        <v>WizardWrx_Libs\ApplicationHelpers\ApplicationHelpers</v>
      </c>
    </row>
    <row r="113" spans="1:10" x14ac:dyDescent="0.25">
      <c r="A113" s="10" t="s">
        <v>31</v>
      </c>
      <c r="B113" s="10" t="str">
        <f>[1]!GetFolder(A113)</f>
        <v>C:\Documents and Settings\DAG\My Documents\Visual Studio 2010\Projects\WizardWrx_Libs\ApplicationHelpers\ApplicationHelpers</v>
      </c>
      <c r="C113" s="10" t="str">
        <f>IF(LEN(B113)&gt;LEN(Visual_Studio_Source_Code),RIGHT(B113,LEN(B113)-LEN([1]!AddBackslash(Visual_Studio_Source_Code))),B113)</f>
        <v>WizardWrx_Libs\ApplicationHelpers\ApplicationHelpers</v>
      </c>
      <c r="D113" s="10" t="str">
        <f>[1]!GetFile(A113)</f>
        <v>ExceptionLogger.cs</v>
      </c>
      <c r="E113" s="13">
        <v>847</v>
      </c>
      <c r="F113" s="13" t="b">
        <f t="shared" si="3"/>
        <v>1</v>
      </c>
      <c r="G113" s="13"/>
      <c r="H113" s="13"/>
      <c r="I113" s="11" t="s">
        <v>236</v>
      </c>
      <c r="J113" s="16" t="str">
        <f t="shared" si="2"/>
        <v>WizardWrx_Libs\ApplicationHelpers\ApplicationHelpers</v>
      </c>
    </row>
    <row r="114" spans="1:10" x14ac:dyDescent="0.25">
      <c r="A114" s="10" t="s">
        <v>31</v>
      </c>
      <c r="B114" s="10" t="str">
        <f>[1]!GetFolder(A114)</f>
        <v>C:\Documents and Settings\DAG\My Documents\Visual Studio 2010\Projects\WizardWrx_Libs\ApplicationHelpers\ApplicationHelpers</v>
      </c>
      <c r="C114" s="10" t="str">
        <f>IF(LEN(B114)&gt;LEN(Visual_Studio_Source_Code),RIGHT(B114,LEN(B114)-LEN([1]!AddBackslash(Visual_Studio_Source_Code))),B114)</f>
        <v>WizardWrx_Libs\ApplicationHelpers\ApplicationHelpers</v>
      </c>
      <c r="D114" s="10" t="str">
        <f>[1]!GetFile(A114)</f>
        <v>ExceptionLogger.cs</v>
      </c>
      <c r="E114" s="13">
        <v>852</v>
      </c>
      <c r="F114" s="13" t="b">
        <f t="shared" si="3"/>
        <v>1</v>
      </c>
      <c r="G114" s="13"/>
      <c r="H114" s="13"/>
      <c r="I114" s="11" t="s">
        <v>232</v>
      </c>
      <c r="J114" s="16" t="str">
        <f t="shared" si="2"/>
        <v>WizardWrx_Libs\ApplicationHelpers\ApplicationHelpers</v>
      </c>
    </row>
    <row r="115" spans="1:10" x14ac:dyDescent="0.25">
      <c r="A115" s="10" t="s">
        <v>31</v>
      </c>
      <c r="B115" s="10" t="str">
        <f>[1]!GetFolder(A115)</f>
        <v>C:\Documents and Settings\DAG\My Documents\Visual Studio 2010\Projects\WizardWrx_Libs\ApplicationHelpers\ApplicationHelpers</v>
      </c>
      <c r="C115" s="10" t="str">
        <f>IF(LEN(B115)&gt;LEN(Visual_Studio_Source_Code),RIGHT(B115,LEN(B115)-LEN([1]!AddBackslash(Visual_Studio_Source_Code))),B115)</f>
        <v>WizardWrx_Libs\ApplicationHelpers\ApplicationHelpers</v>
      </c>
      <c r="D115" s="10" t="str">
        <f>[1]!GetFile(A115)</f>
        <v>ExceptionLogger.cs</v>
      </c>
      <c r="E115" s="13">
        <v>875</v>
      </c>
      <c r="F115" s="13" t="b">
        <f t="shared" si="3"/>
        <v>1</v>
      </c>
      <c r="G115" s="13"/>
      <c r="H115" s="13"/>
      <c r="I115" s="11" t="s">
        <v>230</v>
      </c>
      <c r="J115" s="16" t="str">
        <f t="shared" si="2"/>
        <v>WizardWrx_Libs\ApplicationHelpers\ApplicationHelpers</v>
      </c>
    </row>
    <row r="116" spans="1:10" x14ac:dyDescent="0.25">
      <c r="A116" s="10" t="s">
        <v>31</v>
      </c>
      <c r="B116" s="10" t="str">
        <f>[1]!GetFolder(A116)</f>
        <v>C:\Documents and Settings\DAG\My Documents\Visual Studio 2010\Projects\WizardWrx_Libs\ApplicationHelpers\ApplicationHelpers</v>
      </c>
      <c r="C116" s="10" t="str">
        <f>IF(LEN(B116)&gt;LEN(Visual_Studio_Source_Code),RIGHT(B116,LEN(B116)-LEN([1]!AddBackslash(Visual_Studio_Source_Code))),B116)</f>
        <v>WizardWrx_Libs\ApplicationHelpers\ApplicationHelpers</v>
      </c>
      <c r="D116" s="10" t="str">
        <f>[1]!GetFile(A116)</f>
        <v>ExceptionLogger.cs</v>
      </c>
      <c r="E116" s="13">
        <v>880</v>
      </c>
      <c r="F116" s="13" t="b">
        <f t="shared" si="3"/>
        <v>1</v>
      </c>
      <c r="G116" s="13"/>
      <c r="H116" s="13"/>
      <c r="I116" s="11" t="s">
        <v>228</v>
      </c>
      <c r="J116" s="16" t="str">
        <f t="shared" si="2"/>
        <v>WizardWrx_Libs\ApplicationHelpers\ApplicationHelpers</v>
      </c>
    </row>
    <row r="117" spans="1:10" x14ac:dyDescent="0.25">
      <c r="A117" s="10" t="s">
        <v>31</v>
      </c>
      <c r="B117" s="10" t="str">
        <f>[1]!GetFolder(A117)</f>
        <v>C:\Documents and Settings\DAG\My Documents\Visual Studio 2010\Projects\WizardWrx_Libs\ApplicationHelpers\ApplicationHelpers</v>
      </c>
      <c r="C117" s="10" t="str">
        <f>IF(LEN(B117)&gt;LEN(Visual_Studio_Source_Code),RIGHT(B117,LEN(B117)-LEN([1]!AddBackslash(Visual_Studio_Source_Code))),B117)</f>
        <v>WizardWrx_Libs\ApplicationHelpers\ApplicationHelpers</v>
      </c>
      <c r="D117" s="10" t="str">
        <f>[1]!GetFile(A117)</f>
        <v>ExceptionLogger.cs</v>
      </c>
      <c r="E117" s="13">
        <v>906</v>
      </c>
      <c r="F117" s="13" t="b">
        <f t="shared" si="3"/>
        <v>1</v>
      </c>
      <c r="G117" s="13"/>
      <c r="H117" s="13"/>
      <c r="I117" s="11" t="s">
        <v>237</v>
      </c>
      <c r="J117" s="16" t="str">
        <f t="shared" si="2"/>
        <v>WizardWrx_Libs\ApplicationHelpers\ApplicationHelpers</v>
      </c>
    </row>
    <row r="118" spans="1:10" x14ac:dyDescent="0.25">
      <c r="A118" s="10" t="s">
        <v>31</v>
      </c>
      <c r="B118" s="10" t="str">
        <f>[1]!GetFolder(A118)</f>
        <v>C:\Documents and Settings\DAG\My Documents\Visual Studio 2010\Projects\WizardWrx_Libs\ApplicationHelpers\ApplicationHelpers</v>
      </c>
      <c r="C118" s="10" t="str">
        <f>IF(LEN(B118)&gt;LEN(Visual_Studio_Source_Code),RIGHT(B118,LEN(B118)-LEN([1]!AddBackslash(Visual_Studio_Source_Code))),B118)</f>
        <v>WizardWrx_Libs\ApplicationHelpers\ApplicationHelpers</v>
      </c>
      <c r="D118" s="10" t="str">
        <f>[1]!GetFile(A118)</f>
        <v>ExceptionLogger.cs</v>
      </c>
      <c r="E118" s="13">
        <v>911</v>
      </c>
      <c r="F118" s="13" t="b">
        <f t="shared" si="3"/>
        <v>1</v>
      </c>
      <c r="G118" s="13"/>
      <c r="H118" s="13"/>
      <c r="I118" s="11" t="s">
        <v>232</v>
      </c>
      <c r="J118" s="16" t="str">
        <f t="shared" si="2"/>
        <v>WizardWrx_Libs\ApplicationHelpers\ApplicationHelpers</v>
      </c>
    </row>
    <row r="119" spans="1:10" x14ac:dyDescent="0.25">
      <c r="A119" s="10" t="s">
        <v>31</v>
      </c>
      <c r="B119" s="10" t="str">
        <f>[1]!GetFolder(A119)</f>
        <v>C:\Documents and Settings\DAG\My Documents\Visual Studio 2010\Projects\WizardWrx_Libs\ApplicationHelpers\ApplicationHelpers</v>
      </c>
      <c r="C119" s="10" t="str">
        <f>IF(LEN(B119)&gt;LEN(Visual_Studio_Source_Code),RIGHT(B119,LEN(B119)-LEN([1]!AddBackslash(Visual_Studio_Source_Code))),B119)</f>
        <v>WizardWrx_Libs\ApplicationHelpers\ApplicationHelpers</v>
      </c>
      <c r="D119" s="10" t="str">
        <f>[1]!GetFile(A119)</f>
        <v>ExceptionLogger.cs</v>
      </c>
      <c r="E119" s="13">
        <v>939</v>
      </c>
      <c r="F119" s="13" t="b">
        <f t="shared" si="3"/>
        <v>1</v>
      </c>
      <c r="G119" s="13"/>
      <c r="H119" s="13"/>
      <c r="I119" s="11" t="s">
        <v>230</v>
      </c>
      <c r="J119" s="16" t="str">
        <f t="shared" si="2"/>
        <v>WizardWrx_Libs\ApplicationHelpers\ApplicationHelpers</v>
      </c>
    </row>
    <row r="120" spans="1:10" x14ac:dyDescent="0.25">
      <c r="A120" s="10" t="s">
        <v>31</v>
      </c>
      <c r="B120" s="10" t="str">
        <f>[1]!GetFolder(A120)</f>
        <v>C:\Documents and Settings\DAG\My Documents\Visual Studio 2010\Projects\WizardWrx_Libs\ApplicationHelpers\ApplicationHelpers</v>
      </c>
      <c r="C120" s="10" t="str">
        <f>IF(LEN(B120)&gt;LEN(Visual_Studio_Source_Code),RIGHT(B120,LEN(B120)-LEN([1]!AddBackslash(Visual_Studio_Source_Code))),B120)</f>
        <v>WizardWrx_Libs\ApplicationHelpers\ApplicationHelpers</v>
      </c>
      <c r="D120" s="10" t="str">
        <f>[1]!GetFile(A120)</f>
        <v>ExceptionLogger.cs</v>
      </c>
      <c r="E120" s="13">
        <v>945</v>
      </c>
      <c r="F120" s="13" t="b">
        <f t="shared" si="3"/>
        <v>1</v>
      </c>
      <c r="G120" s="13"/>
      <c r="H120" s="13"/>
      <c r="I120" s="11" t="s">
        <v>228</v>
      </c>
      <c r="J120" s="16" t="str">
        <f t="shared" si="2"/>
        <v>WizardWrx_Libs\ApplicationHelpers\ApplicationHelpers</v>
      </c>
    </row>
    <row r="121" spans="1:10" x14ac:dyDescent="0.25">
      <c r="A121" s="10" t="s">
        <v>31</v>
      </c>
      <c r="B121" s="10" t="str">
        <f>[1]!GetFolder(A121)</f>
        <v>C:\Documents and Settings\DAG\My Documents\Visual Studio 2010\Projects\WizardWrx_Libs\ApplicationHelpers\ApplicationHelpers</v>
      </c>
      <c r="C121" s="10" t="str">
        <f>IF(LEN(B121)&gt;LEN(Visual_Studio_Source_Code),RIGHT(B121,LEN(B121)-LEN([1]!AddBackslash(Visual_Studio_Source_Code))),B121)</f>
        <v>WizardWrx_Libs\ApplicationHelpers\ApplicationHelpers</v>
      </c>
      <c r="D121" s="10" t="str">
        <f>[1]!GetFile(A121)</f>
        <v>ExceptionLogger.cs</v>
      </c>
      <c r="E121" s="13">
        <v>972</v>
      </c>
      <c r="F121" s="13" t="b">
        <f t="shared" si="3"/>
        <v>1</v>
      </c>
      <c r="G121" s="13"/>
      <c r="H121" s="13"/>
      <c r="I121" s="11" t="s">
        <v>238</v>
      </c>
      <c r="J121" s="16" t="str">
        <f t="shared" si="2"/>
        <v>WizardWrx_Libs\ApplicationHelpers\ApplicationHelpers</v>
      </c>
    </row>
    <row r="122" spans="1:10" x14ac:dyDescent="0.25">
      <c r="A122" s="10" t="s">
        <v>31</v>
      </c>
      <c r="B122" s="10" t="str">
        <f>[1]!GetFolder(A122)</f>
        <v>C:\Documents and Settings\DAG\My Documents\Visual Studio 2010\Projects\WizardWrx_Libs\ApplicationHelpers\ApplicationHelpers</v>
      </c>
      <c r="C122" s="10" t="str">
        <f>IF(LEN(B122)&gt;LEN(Visual_Studio_Source_Code),RIGHT(B122,LEN(B122)-LEN([1]!AddBackslash(Visual_Studio_Source_Code))),B122)</f>
        <v>WizardWrx_Libs\ApplicationHelpers\ApplicationHelpers</v>
      </c>
      <c r="D122" s="10" t="str">
        <f>[1]!GetFile(A122)</f>
        <v>ExceptionLogger.cs</v>
      </c>
      <c r="E122" s="13">
        <v>977</v>
      </c>
      <c r="F122" s="13" t="b">
        <f t="shared" si="3"/>
        <v>1</v>
      </c>
      <c r="G122" s="13"/>
      <c r="H122" s="13"/>
      <c r="I122" s="11" t="s">
        <v>239</v>
      </c>
      <c r="J122" s="16" t="str">
        <f t="shared" si="2"/>
        <v>WizardWrx_Libs\ApplicationHelpers\ApplicationHelpers</v>
      </c>
    </row>
    <row r="123" spans="1:10" x14ac:dyDescent="0.25">
      <c r="A123" s="10" t="s">
        <v>31</v>
      </c>
      <c r="B123" s="10" t="str">
        <f>[1]!GetFolder(A123)</f>
        <v>C:\Documents and Settings\DAG\My Documents\Visual Studio 2010\Projects\WizardWrx_Libs\ApplicationHelpers\ApplicationHelpers</v>
      </c>
      <c r="C123" s="10" t="str">
        <f>IF(LEN(B123)&gt;LEN(Visual_Studio_Source_Code),RIGHT(B123,LEN(B123)-LEN([1]!AddBackslash(Visual_Studio_Source_Code))),B123)</f>
        <v>WizardWrx_Libs\ApplicationHelpers\ApplicationHelpers</v>
      </c>
      <c r="D123" s="10" t="str">
        <f>[1]!GetFile(A123)</f>
        <v>ExceptionLogger.cs</v>
      </c>
      <c r="E123" s="13">
        <v>1003</v>
      </c>
      <c r="F123" s="13" t="b">
        <f t="shared" si="3"/>
        <v>1</v>
      </c>
      <c r="G123" s="13"/>
      <c r="H123" s="13"/>
      <c r="I123" s="11" t="s">
        <v>230</v>
      </c>
      <c r="J123" s="16" t="str">
        <f t="shared" si="2"/>
        <v>WizardWrx_Libs\ApplicationHelpers\ApplicationHelpers</v>
      </c>
    </row>
    <row r="124" spans="1:10" x14ac:dyDescent="0.25">
      <c r="A124" s="10" t="s">
        <v>31</v>
      </c>
      <c r="B124" s="10" t="str">
        <f>[1]!GetFolder(A124)</f>
        <v>C:\Documents and Settings\DAG\My Documents\Visual Studio 2010\Projects\WizardWrx_Libs\ApplicationHelpers\ApplicationHelpers</v>
      </c>
      <c r="C124" s="10" t="str">
        <f>IF(LEN(B124)&gt;LEN(Visual_Studio_Source_Code),RIGHT(B124,LEN(B124)-LEN([1]!AddBackslash(Visual_Studio_Source_Code))),B124)</f>
        <v>WizardWrx_Libs\ApplicationHelpers\ApplicationHelpers</v>
      </c>
      <c r="D124" s="10" t="str">
        <f>[1]!GetFile(A124)</f>
        <v>ExceptionLogger.cs</v>
      </c>
      <c r="E124" s="13">
        <v>1008</v>
      </c>
      <c r="F124" s="13" t="b">
        <f t="shared" si="3"/>
        <v>1</v>
      </c>
      <c r="G124" s="13"/>
      <c r="H124" s="13"/>
      <c r="I124" s="11" t="s">
        <v>228</v>
      </c>
      <c r="J124" s="16" t="str">
        <f t="shared" si="2"/>
        <v>WizardWrx_Libs\ApplicationHelpers\ApplicationHelpers</v>
      </c>
    </row>
    <row r="125" spans="1:10" x14ac:dyDescent="0.25">
      <c r="A125" s="10" t="s">
        <v>31</v>
      </c>
      <c r="B125" s="10" t="str">
        <f>[1]!GetFolder(A125)</f>
        <v>C:\Documents and Settings\DAG\My Documents\Visual Studio 2010\Projects\WizardWrx_Libs\ApplicationHelpers\ApplicationHelpers</v>
      </c>
      <c r="C125" s="10" t="str">
        <f>IF(LEN(B125)&gt;LEN(Visual_Studio_Source_Code),RIGHT(B125,LEN(B125)-LEN([1]!AddBackslash(Visual_Studio_Source_Code))),B125)</f>
        <v>WizardWrx_Libs\ApplicationHelpers\ApplicationHelpers</v>
      </c>
      <c r="D125" s="10" t="str">
        <f>[1]!GetFile(A125)</f>
        <v>ExceptionLogger.cs</v>
      </c>
      <c r="E125" s="13">
        <v>1015</v>
      </c>
      <c r="F125" s="13" t="b">
        <f t="shared" si="3"/>
        <v>1</v>
      </c>
      <c r="G125" s="13"/>
      <c r="H125" s="13"/>
      <c r="I125" s="11" t="s">
        <v>240</v>
      </c>
      <c r="J125" s="16" t="str">
        <f t="shared" si="2"/>
        <v>WizardWrx_Libs\ApplicationHelpers\ApplicationHelpers</v>
      </c>
    </row>
    <row r="126" spans="1:10" x14ac:dyDescent="0.25">
      <c r="A126" s="10" t="s">
        <v>31</v>
      </c>
      <c r="B126" s="10" t="str">
        <f>[1]!GetFolder(A126)</f>
        <v>C:\Documents and Settings\DAG\My Documents\Visual Studio 2010\Projects\WizardWrx_Libs\ApplicationHelpers\ApplicationHelpers</v>
      </c>
      <c r="C126" s="10" t="str">
        <f>IF(LEN(B126)&gt;LEN(Visual_Studio_Source_Code),RIGHT(B126,LEN(B126)-LEN([1]!AddBackslash(Visual_Studio_Source_Code))),B126)</f>
        <v>WizardWrx_Libs\ApplicationHelpers\ApplicationHelpers</v>
      </c>
      <c r="D126" s="10" t="str">
        <f>[1]!GetFile(A126)</f>
        <v>ExceptionLogger.cs</v>
      </c>
      <c r="E126" s="13">
        <v>1835</v>
      </c>
      <c r="F126" s="13" t="b">
        <f t="shared" si="3"/>
        <v>1</v>
      </c>
      <c r="G126" s="13"/>
      <c r="H126" s="13"/>
      <c r="I126" s="11" t="s">
        <v>241</v>
      </c>
      <c r="J126" s="16" t="str">
        <f t="shared" si="2"/>
        <v>WizardWrx_Libs\ApplicationHelpers\ApplicationHelpers</v>
      </c>
    </row>
    <row r="127" spans="1:10" x14ac:dyDescent="0.25">
      <c r="A127" s="10" t="s">
        <v>242</v>
      </c>
      <c r="B127" s="10" t="str">
        <f>[1]!GetFolder(A127)</f>
        <v>C:\Documents and Settings\DAG\My Documents\Visual Studio 2010\Projects\WizardWrx_Libs\ApplicationHelpers\ApplicationHelpers</v>
      </c>
      <c r="C127" s="10" t="str">
        <f>IF(LEN(B127)&gt;LEN(Visual_Studio_Source_Code),RIGHT(B127,LEN(B127)-LEN([1]!AddBackslash(Visual_Studio_Source_Code))),B127)</f>
        <v>WizardWrx_Libs\ApplicationHelpers\ApplicationHelpers</v>
      </c>
      <c r="D127" s="10" t="str">
        <f>[1]!GetFile(A127)</f>
        <v>StateManager.cs</v>
      </c>
      <c r="E127" s="13">
        <v>157</v>
      </c>
      <c r="F127" s="13" t="b">
        <f t="shared" si="3"/>
        <v>1</v>
      </c>
      <c r="G127" s="13"/>
      <c r="H127" s="13"/>
      <c r="I127" s="11" t="s">
        <v>205</v>
      </c>
      <c r="J127" s="16" t="str">
        <f t="shared" si="2"/>
        <v>WizardWrx_Libs\ApplicationHelpers\ApplicationHelpers</v>
      </c>
    </row>
    <row r="128" spans="1:10" x14ac:dyDescent="0.25">
      <c r="A128" s="10" t="s">
        <v>242</v>
      </c>
      <c r="B128" s="10" t="str">
        <f>[1]!GetFolder(A128)</f>
        <v>C:\Documents and Settings\DAG\My Documents\Visual Studio 2010\Projects\WizardWrx_Libs\ApplicationHelpers\ApplicationHelpers</v>
      </c>
      <c r="C128" s="10" t="str">
        <f>IF(LEN(B128)&gt;LEN(Visual_Studio_Source_Code),RIGHT(B128,LEN(B128)-LEN([1]!AddBackslash(Visual_Studio_Source_Code))),B128)</f>
        <v>WizardWrx_Libs\ApplicationHelpers\ApplicationHelpers</v>
      </c>
      <c r="D128" s="10" t="str">
        <f>[1]!GetFile(A128)</f>
        <v>StateManager.cs</v>
      </c>
      <c r="E128" s="13">
        <v>193</v>
      </c>
      <c r="F128" s="13" t="b">
        <f t="shared" si="3"/>
        <v>1</v>
      </c>
      <c r="G128" s="13"/>
      <c r="H128" s="13"/>
      <c r="I128" s="11" t="s">
        <v>243</v>
      </c>
      <c r="J128" s="16" t="str">
        <f t="shared" si="2"/>
        <v>WizardWrx_Libs\ApplicationHelpers\ApplicationHelpers</v>
      </c>
    </row>
    <row r="129" spans="1:10" x14ac:dyDescent="0.25">
      <c r="A129" s="10" t="s">
        <v>242</v>
      </c>
      <c r="B129" s="10" t="str">
        <f>[1]!GetFolder(A129)</f>
        <v>C:\Documents and Settings\DAG\My Documents\Visual Studio 2010\Projects\WizardWrx_Libs\ApplicationHelpers\ApplicationHelpers</v>
      </c>
      <c r="C129" s="10" t="str">
        <f>IF(LEN(B129)&gt;LEN(Visual_Studio_Source_Code),RIGHT(B129,LEN(B129)-LEN([1]!AddBackslash(Visual_Studio_Source_Code))),B129)</f>
        <v>WizardWrx_Libs\ApplicationHelpers\ApplicationHelpers</v>
      </c>
      <c r="D129" s="10" t="str">
        <f>[1]!GetFile(A129)</f>
        <v>StateManager.cs</v>
      </c>
      <c r="E129" s="13">
        <v>223</v>
      </c>
      <c r="F129" s="13" t="b">
        <f t="shared" si="3"/>
        <v>1</v>
      </c>
      <c r="G129" s="13"/>
      <c r="H129" s="13"/>
      <c r="I129" s="11" t="s">
        <v>207</v>
      </c>
      <c r="J129" s="16" t="str">
        <f t="shared" si="2"/>
        <v>WizardWrx_Libs\ApplicationHelpers\ApplicationHelpers</v>
      </c>
    </row>
    <row r="130" spans="1:10" x14ac:dyDescent="0.25">
      <c r="A130" s="10" t="s">
        <v>242</v>
      </c>
      <c r="B130" s="10" t="str">
        <f>[1]!GetFolder(A130)</f>
        <v>C:\Documents and Settings\DAG\My Documents\Visual Studio 2010\Projects\WizardWrx_Libs\ApplicationHelpers\ApplicationHelpers</v>
      </c>
      <c r="C130" s="10" t="str">
        <f>IF(LEN(B130)&gt;LEN(Visual_Studio_Source_Code),RIGHT(B130,LEN(B130)-LEN([1]!AddBackslash(Visual_Studio_Source_Code))),B130)</f>
        <v>WizardWrx_Libs\ApplicationHelpers\ApplicationHelpers</v>
      </c>
      <c r="D130" s="10" t="str">
        <f>[1]!GetFile(A130)</f>
        <v>StateManager.cs</v>
      </c>
      <c r="E130" s="13">
        <v>226</v>
      </c>
      <c r="F130" s="13" t="b">
        <f t="shared" si="3"/>
        <v>1</v>
      </c>
      <c r="G130" s="13"/>
      <c r="H130" s="13"/>
      <c r="I130" s="11" t="s">
        <v>208</v>
      </c>
      <c r="J130" s="16" t="str">
        <f t="shared" ref="J130:J193" si="4">C130</f>
        <v>WizardWrx_Libs\ApplicationHelpers\ApplicationHelpers</v>
      </c>
    </row>
    <row r="131" spans="1:10" x14ac:dyDescent="0.25">
      <c r="A131" s="10" t="s">
        <v>242</v>
      </c>
      <c r="B131" s="10" t="str">
        <f>[1]!GetFolder(A131)</f>
        <v>C:\Documents and Settings\DAG\My Documents\Visual Studio 2010\Projects\WizardWrx_Libs\ApplicationHelpers\ApplicationHelpers</v>
      </c>
      <c r="C131" s="10" t="str">
        <f>IF(LEN(B131)&gt;LEN(Visual_Studio_Source_Code),RIGHT(B131,LEN(B131)-LEN([1]!AddBackslash(Visual_Studio_Source_Code))),B131)</f>
        <v>WizardWrx_Libs\ApplicationHelpers\ApplicationHelpers</v>
      </c>
      <c r="D131" s="10" t="str">
        <f>[1]!GetFile(A131)</f>
        <v>StateManager.cs</v>
      </c>
      <c r="E131" s="13">
        <v>398</v>
      </c>
      <c r="F131" s="13" t="b">
        <f t="shared" si="3"/>
        <v>1</v>
      </c>
      <c r="G131" s="13"/>
      <c r="H131" s="13"/>
      <c r="I131" s="11" t="s">
        <v>209</v>
      </c>
      <c r="J131" s="16" t="str">
        <f t="shared" si="4"/>
        <v>WizardWrx_Libs\ApplicationHelpers\ApplicationHelpers</v>
      </c>
    </row>
    <row r="132" spans="1:10" x14ac:dyDescent="0.25">
      <c r="A132" s="10" t="s">
        <v>242</v>
      </c>
      <c r="B132" s="10" t="str">
        <f>[1]!GetFolder(A132)</f>
        <v>C:\Documents and Settings\DAG\My Documents\Visual Studio 2010\Projects\WizardWrx_Libs\ApplicationHelpers\ApplicationHelpers</v>
      </c>
      <c r="C132" s="10" t="str">
        <f>IF(LEN(B132)&gt;LEN(Visual_Studio_Source_Code),RIGHT(B132,LEN(B132)-LEN([1]!AddBackslash(Visual_Studio_Source_Code))),B132)</f>
        <v>WizardWrx_Libs\ApplicationHelpers\ApplicationHelpers</v>
      </c>
      <c r="D132" s="10" t="str">
        <f>[1]!GetFile(A132)</f>
        <v>StateManager.cs</v>
      </c>
      <c r="E132" s="13">
        <v>403</v>
      </c>
      <c r="F132" s="13" t="b">
        <f t="shared" ref="F132:F195" si="5">NOT(ISERROR(FIND("ExceptionLogger",I132)))</f>
        <v>1</v>
      </c>
      <c r="G132" s="13"/>
      <c r="H132" s="13"/>
      <c r="I132" s="11" t="s">
        <v>210</v>
      </c>
      <c r="J132" s="16" t="str">
        <f t="shared" si="4"/>
        <v>WizardWrx_Libs\ApplicationHelpers\ApplicationHelpers</v>
      </c>
    </row>
    <row r="133" spans="1:10" x14ac:dyDescent="0.25">
      <c r="A133" s="10" t="s">
        <v>244</v>
      </c>
      <c r="B133" s="10" t="str">
        <f>[1]!GetFolder(A133)</f>
        <v>C:\Documents and Settings\DAG\My Documents\Visual Studio 2010\Projects\WizardWrx_Libs\ApplicationHelpers\ApplicationHelpers</v>
      </c>
      <c r="C133" s="10" t="str">
        <f>IF(LEN(B133)&gt;LEN(Visual_Studio_Source_Code),RIGHT(B133,LEN(B133)-LEN([1]!AddBackslash(Visual_Studio_Source_Code))),B133)</f>
        <v>WizardWrx_Libs\ApplicationHelpers\ApplicationHelpers</v>
      </c>
      <c r="D133" s="10" t="str">
        <f>[1]!GetFile(A133)</f>
        <v>ApplicationHelpers.csproj</v>
      </c>
      <c r="E133" s="13">
        <v>58</v>
      </c>
      <c r="F133" s="13" t="b">
        <f t="shared" si="5"/>
        <v>1</v>
      </c>
      <c r="G133" s="13"/>
      <c r="H133" s="13"/>
      <c r="I133" s="11" t="s">
        <v>245</v>
      </c>
      <c r="J133" s="16" t="str">
        <f t="shared" si="4"/>
        <v>WizardWrx_Libs\ApplicationHelpers\ApplicationHelpers</v>
      </c>
    </row>
    <row r="134" spans="1:10" x14ac:dyDescent="0.25">
      <c r="A134" s="10" t="s">
        <v>246</v>
      </c>
      <c r="B134" s="10" t="str">
        <f>[1]!GetFolder(A134)</f>
        <v>C:\Documents and Settings\DAG\My Documents\Visual Studio 2010\Projects\WizardWrx_Libs\ApplicationHelpers\ApplicationHelpersTestHarness\ApplicationHelpersTestHarness</v>
      </c>
      <c r="C134" s="10" t="str">
        <f>IF(LEN(B134)&gt;LEN(Visual_Studio_Source_Code),RIGHT(B134,LEN(B134)-LEN([1]!AddBackslash(Visual_Studio_Source_Code))),B134)</f>
        <v>WizardWrx_Libs\ApplicationHelpers\ApplicationHelpersTestHarness\ApplicationHelpersTestHarness</v>
      </c>
      <c r="D134" s="10" t="str">
        <f>[1]!GetFile(A134)</f>
        <v>Program.cs</v>
      </c>
      <c r="E134" s="13">
        <v>73</v>
      </c>
      <c r="F134" s="13" t="b">
        <f t="shared" si="5"/>
        <v>1</v>
      </c>
      <c r="G134" s="13"/>
      <c r="H134" s="13"/>
      <c r="I134" s="11" t="s">
        <v>247</v>
      </c>
      <c r="J134" s="16" t="str">
        <f t="shared" si="4"/>
        <v>WizardWrx_Libs\ApplicationHelpers\ApplicationHelpersTestHarness\ApplicationHelpersTestHarness</v>
      </c>
    </row>
    <row r="135" spans="1:10" x14ac:dyDescent="0.25">
      <c r="A135" s="10" t="s">
        <v>246</v>
      </c>
      <c r="B135" s="10" t="str">
        <f>[1]!GetFolder(A135)</f>
        <v>C:\Documents and Settings\DAG\My Documents\Visual Studio 2010\Projects\WizardWrx_Libs\ApplicationHelpers\ApplicationHelpersTestHarness\ApplicationHelpersTestHarness</v>
      </c>
      <c r="C135" s="10" t="str">
        <f>IF(LEN(B135)&gt;LEN(Visual_Studio_Source_Code),RIGHT(B135,LEN(B135)-LEN([1]!AddBackslash(Visual_Studio_Source_Code))),B135)</f>
        <v>WizardWrx_Libs\ApplicationHelpers\ApplicationHelpersTestHarness\ApplicationHelpersTestHarness</v>
      </c>
      <c r="D135" s="10" t="str">
        <f>[1]!GetFile(A135)</f>
        <v>Program.cs</v>
      </c>
      <c r="E135" s="13">
        <v>139</v>
      </c>
      <c r="F135" s="13" t="b">
        <f t="shared" si="5"/>
        <v>1</v>
      </c>
      <c r="G135" s="13"/>
      <c r="H135" s="13"/>
      <c r="I135" s="11" t="s">
        <v>248</v>
      </c>
      <c r="J135" s="16" t="str">
        <f t="shared" si="4"/>
        <v>WizardWrx_Libs\ApplicationHelpers\ApplicationHelpersTestHarness\ApplicationHelpersTestHarness</v>
      </c>
    </row>
    <row r="136" spans="1:10" x14ac:dyDescent="0.25">
      <c r="A136" s="10" t="s">
        <v>246</v>
      </c>
      <c r="B136" s="10" t="str">
        <f>[1]!GetFolder(A136)</f>
        <v>C:\Documents and Settings\DAG\My Documents\Visual Studio 2010\Projects\WizardWrx_Libs\ApplicationHelpers\ApplicationHelpersTestHarness\ApplicationHelpersTestHarness</v>
      </c>
      <c r="C136" s="10" t="str">
        <f>IF(LEN(B136)&gt;LEN(Visual_Studio_Source_Code),RIGHT(B136,LEN(B136)-LEN([1]!AddBackslash(Visual_Studio_Source_Code))),B136)</f>
        <v>WizardWrx_Libs\ApplicationHelpers\ApplicationHelpersTestHarness\ApplicationHelpersTestHarness</v>
      </c>
      <c r="D136" s="10" t="str">
        <f>[1]!GetFile(A136)</f>
        <v>Program.cs</v>
      </c>
      <c r="E136" s="13">
        <v>375</v>
      </c>
      <c r="F136" s="13" t="b">
        <f t="shared" si="5"/>
        <v>1</v>
      </c>
      <c r="G136" s="13"/>
      <c r="H136" s="13"/>
      <c r="I136" s="11" t="s">
        <v>249</v>
      </c>
      <c r="J136" s="16" t="str">
        <f t="shared" si="4"/>
        <v>WizardWrx_Libs\ApplicationHelpers\ApplicationHelpersTestHarness\ApplicationHelpersTestHarness</v>
      </c>
    </row>
    <row r="137" spans="1:10" x14ac:dyDescent="0.25">
      <c r="A137" s="10" t="s">
        <v>246</v>
      </c>
      <c r="B137" s="10" t="str">
        <f>[1]!GetFolder(A137)</f>
        <v>C:\Documents and Settings\DAG\My Documents\Visual Studio 2010\Projects\WizardWrx_Libs\ApplicationHelpers\ApplicationHelpersTestHarness\ApplicationHelpersTestHarness</v>
      </c>
      <c r="C137" s="10" t="str">
        <f>IF(LEN(B137)&gt;LEN(Visual_Studio_Source_Code),RIGHT(B137,LEN(B137)-LEN([1]!AddBackslash(Visual_Studio_Source_Code))),B137)</f>
        <v>WizardWrx_Libs\ApplicationHelpers\ApplicationHelpersTestHarness\ApplicationHelpersTestHarness</v>
      </c>
      <c r="D137" s="10" t="str">
        <f>[1]!GetFile(A137)</f>
        <v>Program.cs</v>
      </c>
      <c r="E137" s="13">
        <v>377</v>
      </c>
      <c r="F137" s="13" t="b">
        <f t="shared" si="5"/>
        <v>1</v>
      </c>
      <c r="G137" s="13"/>
      <c r="H137" s="13"/>
      <c r="I137" s="11" t="s">
        <v>250</v>
      </c>
      <c r="J137" s="16" t="str">
        <f t="shared" si="4"/>
        <v>WizardWrx_Libs\ApplicationHelpers\ApplicationHelpersTestHarness\ApplicationHelpersTestHarness</v>
      </c>
    </row>
    <row r="138" spans="1:10" x14ac:dyDescent="0.25">
      <c r="A138" s="10" t="s">
        <v>246</v>
      </c>
      <c r="B138" s="10" t="str">
        <f>[1]!GetFolder(A138)</f>
        <v>C:\Documents and Settings\DAG\My Documents\Visual Studio 2010\Projects\WizardWrx_Libs\ApplicationHelpers\ApplicationHelpersTestHarness\ApplicationHelpersTestHarness</v>
      </c>
      <c r="C138" s="10" t="str">
        <f>IF(LEN(B138)&gt;LEN(Visual_Studio_Source_Code),RIGHT(B138,LEN(B138)-LEN([1]!AddBackslash(Visual_Studio_Source_Code))),B138)</f>
        <v>WizardWrx_Libs\ApplicationHelpers\ApplicationHelpersTestHarness\ApplicationHelpersTestHarness</v>
      </c>
      <c r="D138" s="10" t="str">
        <f>[1]!GetFile(A138)</f>
        <v>Program.cs</v>
      </c>
      <c r="E138" s="13">
        <v>378</v>
      </c>
      <c r="F138" s="13" t="b">
        <f t="shared" si="5"/>
        <v>1</v>
      </c>
      <c r="G138" s="13"/>
      <c r="H138" s="13"/>
      <c r="I138" s="11" t="s">
        <v>251</v>
      </c>
      <c r="J138" s="16" t="str">
        <f t="shared" si="4"/>
        <v>WizardWrx_Libs\ApplicationHelpers\ApplicationHelpersTestHarness\ApplicationHelpersTestHarness</v>
      </c>
    </row>
    <row r="139" spans="1:10" x14ac:dyDescent="0.25">
      <c r="A139" s="10" t="s">
        <v>246</v>
      </c>
      <c r="B139" s="10" t="str">
        <f>[1]!GetFolder(A139)</f>
        <v>C:\Documents and Settings\DAG\My Documents\Visual Studio 2010\Projects\WizardWrx_Libs\ApplicationHelpers\ApplicationHelpersTestHarness\ApplicationHelpersTestHarness</v>
      </c>
      <c r="C139" s="10" t="str">
        <f>IF(LEN(B139)&gt;LEN(Visual_Studio_Source_Code),RIGHT(B139,LEN(B139)-LEN([1]!AddBackslash(Visual_Studio_Source_Code))),B139)</f>
        <v>WizardWrx_Libs\ApplicationHelpers\ApplicationHelpersTestHarness\ApplicationHelpersTestHarness</v>
      </c>
      <c r="D139" s="10" t="str">
        <f>[1]!GetFile(A139)</f>
        <v>Program.cs</v>
      </c>
      <c r="E139" s="13">
        <v>379</v>
      </c>
      <c r="F139" s="13" t="b">
        <f t="shared" si="5"/>
        <v>1</v>
      </c>
      <c r="G139" s="13"/>
      <c r="H139" s="13"/>
      <c r="I139" s="11" t="s">
        <v>252</v>
      </c>
      <c r="J139" s="16" t="str">
        <f t="shared" si="4"/>
        <v>WizardWrx_Libs\ApplicationHelpers\ApplicationHelpersTestHarness\ApplicationHelpersTestHarness</v>
      </c>
    </row>
    <row r="140" spans="1:10" x14ac:dyDescent="0.25">
      <c r="A140" s="10" t="s">
        <v>246</v>
      </c>
      <c r="B140" s="10" t="str">
        <f>[1]!GetFolder(A140)</f>
        <v>C:\Documents and Settings\DAG\My Documents\Visual Studio 2010\Projects\WizardWrx_Libs\ApplicationHelpers\ApplicationHelpersTestHarness\ApplicationHelpersTestHarness</v>
      </c>
      <c r="C140" s="10" t="str">
        <f>IF(LEN(B140)&gt;LEN(Visual_Studio_Source_Code),RIGHT(B140,LEN(B140)-LEN([1]!AddBackslash(Visual_Studio_Source_Code))),B140)</f>
        <v>WizardWrx_Libs\ApplicationHelpers\ApplicationHelpersTestHarness\ApplicationHelpersTestHarness</v>
      </c>
      <c r="D140" s="10" t="str">
        <f>[1]!GetFile(A140)</f>
        <v>Program.cs</v>
      </c>
      <c r="E140" s="13">
        <v>381</v>
      </c>
      <c r="F140" s="13" t="b">
        <f t="shared" si="5"/>
        <v>1</v>
      </c>
      <c r="G140" s="13"/>
      <c r="H140" s="13"/>
      <c r="I140" s="11" t="s">
        <v>253</v>
      </c>
      <c r="J140" s="16" t="str">
        <f t="shared" si="4"/>
        <v>WizardWrx_Libs\ApplicationHelpers\ApplicationHelpersTestHarness\ApplicationHelpersTestHarness</v>
      </c>
    </row>
    <row r="141" spans="1:10" x14ac:dyDescent="0.25">
      <c r="A141" s="10" t="s">
        <v>246</v>
      </c>
      <c r="B141" s="10" t="str">
        <f>[1]!GetFolder(A141)</f>
        <v>C:\Documents and Settings\DAG\My Documents\Visual Studio 2010\Projects\WizardWrx_Libs\ApplicationHelpers\ApplicationHelpersTestHarness\ApplicationHelpersTestHarness</v>
      </c>
      <c r="C141" s="10" t="str">
        <f>IF(LEN(B141)&gt;LEN(Visual_Studio_Source_Code),RIGHT(B141,LEN(B141)-LEN([1]!AddBackslash(Visual_Studio_Source_Code))),B141)</f>
        <v>WizardWrx_Libs\ApplicationHelpers\ApplicationHelpersTestHarness\ApplicationHelpersTestHarness</v>
      </c>
      <c r="D141" s="10" t="str">
        <f>[1]!GetFile(A141)</f>
        <v>Program.cs</v>
      </c>
      <c r="E141" s="13">
        <v>383</v>
      </c>
      <c r="F141" s="13" t="b">
        <f t="shared" si="5"/>
        <v>1</v>
      </c>
      <c r="G141" s="13"/>
      <c r="H141" s="13"/>
      <c r="I141" s="11" t="s">
        <v>254</v>
      </c>
      <c r="J141" s="16" t="str">
        <f t="shared" si="4"/>
        <v>WizardWrx_Libs\ApplicationHelpers\ApplicationHelpersTestHarness\ApplicationHelpersTestHarness</v>
      </c>
    </row>
    <row r="142" spans="1:10" x14ac:dyDescent="0.25">
      <c r="A142" s="10" t="s">
        <v>246</v>
      </c>
      <c r="B142" s="10" t="str">
        <f>[1]!GetFolder(A142)</f>
        <v>C:\Documents and Settings\DAG\My Documents\Visual Studio 2010\Projects\WizardWrx_Libs\ApplicationHelpers\ApplicationHelpersTestHarness\ApplicationHelpersTestHarness</v>
      </c>
      <c r="C142" s="10" t="str">
        <f>IF(LEN(B142)&gt;LEN(Visual_Studio_Source_Code),RIGHT(B142,LEN(B142)-LEN([1]!AddBackslash(Visual_Studio_Source_Code))),B142)</f>
        <v>WizardWrx_Libs\ApplicationHelpers\ApplicationHelpersTestHarness\ApplicationHelpersTestHarness</v>
      </c>
      <c r="D142" s="10" t="str">
        <f>[1]!GetFile(A142)</f>
        <v>Program.cs</v>
      </c>
      <c r="E142" s="13">
        <v>384</v>
      </c>
      <c r="F142" s="13" t="b">
        <f t="shared" si="5"/>
        <v>1</v>
      </c>
      <c r="G142" s="13"/>
      <c r="H142" s="13"/>
      <c r="I142" s="11" t="s">
        <v>255</v>
      </c>
      <c r="J142" s="16" t="str">
        <f t="shared" si="4"/>
        <v>WizardWrx_Libs\ApplicationHelpers\ApplicationHelpersTestHarness\ApplicationHelpersTestHarness</v>
      </c>
    </row>
    <row r="143" spans="1:10" x14ac:dyDescent="0.25">
      <c r="A143" s="10" t="s">
        <v>246</v>
      </c>
      <c r="B143" s="10" t="str">
        <f>[1]!GetFolder(A143)</f>
        <v>C:\Documents and Settings\DAG\My Documents\Visual Studio 2010\Projects\WizardWrx_Libs\ApplicationHelpers\ApplicationHelpersTestHarness\ApplicationHelpersTestHarness</v>
      </c>
      <c r="C143" s="10" t="str">
        <f>IF(LEN(B143)&gt;LEN(Visual_Studio_Source_Code),RIGHT(B143,LEN(B143)-LEN([1]!AddBackslash(Visual_Studio_Source_Code))),B143)</f>
        <v>WizardWrx_Libs\ApplicationHelpers\ApplicationHelpersTestHarness\ApplicationHelpersTestHarness</v>
      </c>
      <c r="D143" s="10" t="str">
        <f>[1]!GetFile(A143)</f>
        <v>Program.cs</v>
      </c>
      <c r="E143" s="13">
        <v>385</v>
      </c>
      <c r="F143" s="13" t="b">
        <f t="shared" si="5"/>
        <v>1</v>
      </c>
      <c r="G143" s="13"/>
      <c r="H143" s="13"/>
      <c r="I143" s="11" t="s">
        <v>256</v>
      </c>
      <c r="J143" s="16" t="str">
        <f t="shared" si="4"/>
        <v>WizardWrx_Libs\ApplicationHelpers\ApplicationHelpersTestHarness\ApplicationHelpersTestHarness</v>
      </c>
    </row>
    <row r="144" spans="1:10" x14ac:dyDescent="0.25">
      <c r="A144" s="10" t="s">
        <v>246</v>
      </c>
      <c r="B144" s="10" t="str">
        <f>[1]!GetFolder(A144)</f>
        <v>C:\Documents and Settings\DAG\My Documents\Visual Studio 2010\Projects\WizardWrx_Libs\ApplicationHelpers\ApplicationHelpersTestHarness\ApplicationHelpersTestHarness</v>
      </c>
      <c r="C144" s="10" t="str">
        <f>IF(LEN(B144)&gt;LEN(Visual_Studio_Source_Code),RIGHT(B144,LEN(B144)-LEN([1]!AddBackslash(Visual_Studio_Source_Code))),B144)</f>
        <v>WizardWrx_Libs\ApplicationHelpers\ApplicationHelpersTestHarness\ApplicationHelpersTestHarness</v>
      </c>
      <c r="D144" s="10" t="str">
        <f>[1]!GetFile(A144)</f>
        <v>Program.cs</v>
      </c>
      <c r="E144" s="13">
        <v>386</v>
      </c>
      <c r="F144" s="13" t="b">
        <f t="shared" si="5"/>
        <v>1</v>
      </c>
      <c r="G144" s="13"/>
      <c r="H144" s="13"/>
      <c r="I144" s="11" t="s">
        <v>257</v>
      </c>
      <c r="J144" s="16" t="str">
        <f t="shared" si="4"/>
        <v>WizardWrx_Libs\ApplicationHelpers\ApplicationHelpersTestHarness\ApplicationHelpersTestHarness</v>
      </c>
    </row>
    <row r="145" spans="1:10" x14ac:dyDescent="0.25">
      <c r="A145" s="10" t="s">
        <v>246</v>
      </c>
      <c r="B145" s="10" t="str">
        <f>[1]!GetFolder(A145)</f>
        <v>C:\Documents and Settings\DAG\My Documents\Visual Studio 2010\Projects\WizardWrx_Libs\ApplicationHelpers\ApplicationHelpersTestHarness\ApplicationHelpersTestHarness</v>
      </c>
      <c r="C145" s="10" t="str">
        <f>IF(LEN(B145)&gt;LEN(Visual_Studio_Source_Code),RIGHT(B145,LEN(B145)-LEN([1]!AddBackslash(Visual_Studio_Source_Code))),B145)</f>
        <v>WizardWrx_Libs\ApplicationHelpers\ApplicationHelpersTestHarness\ApplicationHelpersTestHarness</v>
      </c>
      <c r="D145" s="10" t="str">
        <f>[1]!GetFile(A145)</f>
        <v>Program.cs</v>
      </c>
      <c r="E145" s="13">
        <v>387</v>
      </c>
      <c r="F145" s="13" t="b">
        <f t="shared" si="5"/>
        <v>1</v>
      </c>
      <c r="G145" s="13"/>
      <c r="H145" s="13"/>
      <c r="I145" s="11" t="s">
        <v>258</v>
      </c>
      <c r="J145" s="16" t="str">
        <f t="shared" si="4"/>
        <v>WizardWrx_Libs\ApplicationHelpers\ApplicationHelpersTestHarness\ApplicationHelpersTestHarness</v>
      </c>
    </row>
    <row r="146" spans="1:10" x14ac:dyDescent="0.25">
      <c r="A146" s="10" t="s">
        <v>246</v>
      </c>
      <c r="B146" s="10" t="str">
        <f>[1]!GetFolder(A146)</f>
        <v>C:\Documents and Settings\DAG\My Documents\Visual Studio 2010\Projects\WizardWrx_Libs\ApplicationHelpers\ApplicationHelpersTestHarness\ApplicationHelpersTestHarness</v>
      </c>
      <c r="C146" s="10" t="str">
        <f>IF(LEN(B146)&gt;LEN(Visual_Studio_Source_Code),RIGHT(B146,LEN(B146)-LEN([1]!AddBackslash(Visual_Studio_Source_Code))),B146)</f>
        <v>WizardWrx_Libs\ApplicationHelpers\ApplicationHelpersTestHarness\ApplicationHelpersTestHarness</v>
      </c>
      <c r="D146" s="10" t="str">
        <f>[1]!GetFile(A146)</f>
        <v>Program.cs</v>
      </c>
      <c r="E146" s="13">
        <v>388</v>
      </c>
      <c r="F146" s="13" t="b">
        <f t="shared" si="5"/>
        <v>1</v>
      </c>
      <c r="G146" s="13"/>
      <c r="H146" s="13"/>
      <c r="I146" s="11" t="s">
        <v>259</v>
      </c>
      <c r="J146" s="16" t="str">
        <f t="shared" si="4"/>
        <v>WizardWrx_Libs\ApplicationHelpers\ApplicationHelpersTestHarness\ApplicationHelpersTestHarness</v>
      </c>
    </row>
    <row r="147" spans="1:10" x14ac:dyDescent="0.25">
      <c r="A147" s="10" t="s">
        <v>246</v>
      </c>
      <c r="B147" s="10" t="str">
        <f>[1]!GetFolder(A147)</f>
        <v>C:\Documents and Settings\DAG\My Documents\Visual Studio 2010\Projects\WizardWrx_Libs\ApplicationHelpers\ApplicationHelpersTestHarness\ApplicationHelpersTestHarness</v>
      </c>
      <c r="C147" s="10" t="str">
        <f>IF(LEN(B147)&gt;LEN(Visual_Studio_Source_Code),RIGHT(B147,LEN(B147)-LEN([1]!AddBackslash(Visual_Studio_Source_Code))),B147)</f>
        <v>WizardWrx_Libs\ApplicationHelpers\ApplicationHelpersTestHarness\ApplicationHelpersTestHarness</v>
      </c>
      <c r="D147" s="10" t="str">
        <f>[1]!GetFile(A147)</f>
        <v>Program.cs</v>
      </c>
      <c r="E147" s="13">
        <v>399</v>
      </c>
      <c r="F147" s="13" t="b">
        <f t="shared" si="5"/>
        <v>1</v>
      </c>
      <c r="G147" s="13"/>
      <c r="H147" s="13"/>
      <c r="I147" s="11" t="s">
        <v>260</v>
      </c>
      <c r="J147" s="16" t="str">
        <f t="shared" si="4"/>
        <v>WizardWrx_Libs\ApplicationHelpers\ApplicationHelpersTestHarness\ApplicationHelpersTestHarness</v>
      </c>
    </row>
    <row r="148" spans="1:10" x14ac:dyDescent="0.25">
      <c r="A148" s="10" t="s">
        <v>246</v>
      </c>
      <c r="B148" s="10" t="str">
        <f>[1]!GetFolder(A148)</f>
        <v>C:\Documents and Settings\DAG\My Documents\Visual Studio 2010\Projects\WizardWrx_Libs\ApplicationHelpers\ApplicationHelpersTestHarness\ApplicationHelpersTestHarness</v>
      </c>
      <c r="C148" s="10" t="str">
        <f>IF(LEN(B148)&gt;LEN(Visual_Studio_Source_Code),RIGHT(B148,LEN(B148)-LEN([1]!AddBackslash(Visual_Studio_Source_Code))),B148)</f>
        <v>WizardWrx_Libs\ApplicationHelpers\ApplicationHelpersTestHarness\ApplicationHelpersTestHarness</v>
      </c>
      <c r="D148" s="10" t="str">
        <f>[1]!GetFile(A148)</f>
        <v>Program.cs</v>
      </c>
      <c r="E148" s="13">
        <v>401</v>
      </c>
      <c r="F148" s="13" t="b">
        <f t="shared" si="5"/>
        <v>1</v>
      </c>
      <c r="G148" s="13"/>
      <c r="H148" s="13"/>
      <c r="I148" s="11" t="s">
        <v>261</v>
      </c>
      <c r="J148" s="16" t="str">
        <f t="shared" si="4"/>
        <v>WizardWrx_Libs\ApplicationHelpers\ApplicationHelpersTestHarness\ApplicationHelpersTestHarness</v>
      </c>
    </row>
    <row r="149" spans="1:10" x14ac:dyDescent="0.25">
      <c r="A149" s="10" t="s">
        <v>246</v>
      </c>
      <c r="B149" s="10" t="str">
        <f>[1]!GetFolder(A149)</f>
        <v>C:\Documents and Settings\DAG\My Documents\Visual Studio 2010\Projects\WizardWrx_Libs\ApplicationHelpers\ApplicationHelpersTestHarness\ApplicationHelpersTestHarness</v>
      </c>
      <c r="C149" s="10" t="str">
        <f>IF(LEN(B149)&gt;LEN(Visual_Studio_Source_Code),RIGHT(B149,LEN(B149)-LEN([1]!AddBackslash(Visual_Studio_Source_Code))),B149)</f>
        <v>WizardWrx_Libs\ApplicationHelpers\ApplicationHelpersTestHarness\ApplicationHelpersTestHarness</v>
      </c>
      <c r="D149" s="10" t="str">
        <f>[1]!GetFile(A149)</f>
        <v>Program.cs</v>
      </c>
      <c r="E149" s="13">
        <v>402</v>
      </c>
      <c r="F149" s="13" t="b">
        <f t="shared" si="5"/>
        <v>1</v>
      </c>
      <c r="G149" s="13"/>
      <c r="H149" s="13"/>
      <c r="I149" s="11" t="s">
        <v>262</v>
      </c>
      <c r="J149" s="16" t="str">
        <f t="shared" si="4"/>
        <v>WizardWrx_Libs\ApplicationHelpers\ApplicationHelpersTestHarness\ApplicationHelpersTestHarness</v>
      </c>
    </row>
    <row r="150" spans="1:10" x14ac:dyDescent="0.25">
      <c r="A150" s="10" t="s">
        <v>246</v>
      </c>
      <c r="B150" s="10" t="str">
        <f>[1]!GetFolder(A150)</f>
        <v>C:\Documents and Settings\DAG\My Documents\Visual Studio 2010\Projects\WizardWrx_Libs\ApplicationHelpers\ApplicationHelpersTestHarness\ApplicationHelpersTestHarness</v>
      </c>
      <c r="C150" s="10" t="str">
        <f>IF(LEN(B150)&gt;LEN(Visual_Studio_Source_Code),RIGHT(B150,LEN(B150)-LEN([1]!AddBackslash(Visual_Studio_Source_Code))),B150)</f>
        <v>WizardWrx_Libs\ApplicationHelpers\ApplicationHelpersTestHarness\ApplicationHelpersTestHarness</v>
      </c>
      <c r="D150" s="10" t="str">
        <f>[1]!GetFile(A150)</f>
        <v>Program.cs</v>
      </c>
      <c r="E150" s="13">
        <v>403</v>
      </c>
      <c r="F150" s="13" t="b">
        <f t="shared" si="5"/>
        <v>1</v>
      </c>
      <c r="G150" s="13"/>
      <c r="H150" s="13"/>
      <c r="I150" s="11" t="s">
        <v>263</v>
      </c>
      <c r="J150" s="16" t="str">
        <f t="shared" si="4"/>
        <v>WizardWrx_Libs\ApplicationHelpers\ApplicationHelpersTestHarness\ApplicationHelpersTestHarness</v>
      </c>
    </row>
    <row r="151" spans="1:10" x14ac:dyDescent="0.25">
      <c r="A151" s="10" t="s">
        <v>246</v>
      </c>
      <c r="B151" s="10" t="str">
        <f>[1]!GetFolder(A151)</f>
        <v>C:\Documents and Settings\DAG\My Documents\Visual Studio 2010\Projects\WizardWrx_Libs\ApplicationHelpers\ApplicationHelpersTestHarness\ApplicationHelpersTestHarness</v>
      </c>
      <c r="C151" s="10" t="str">
        <f>IF(LEN(B151)&gt;LEN(Visual_Studio_Source_Code),RIGHT(B151,LEN(B151)-LEN([1]!AddBackslash(Visual_Studio_Source_Code))),B151)</f>
        <v>WizardWrx_Libs\ApplicationHelpers\ApplicationHelpersTestHarness\ApplicationHelpersTestHarness</v>
      </c>
      <c r="D151" s="10" t="str">
        <f>[1]!GetFile(A151)</f>
        <v>Program.cs</v>
      </c>
      <c r="E151" s="13">
        <v>489</v>
      </c>
      <c r="F151" s="13" t="b">
        <f t="shared" si="5"/>
        <v>1</v>
      </c>
      <c r="G151" s="13"/>
      <c r="H151" s="13"/>
      <c r="I151" s="11" t="s">
        <v>264</v>
      </c>
      <c r="J151" s="16" t="str">
        <f t="shared" si="4"/>
        <v>WizardWrx_Libs\ApplicationHelpers\ApplicationHelpersTestHarness\ApplicationHelpersTestHarness</v>
      </c>
    </row>
    <row r="152" spans="1:10" x14ac:dyDescent="0.25">
      <c r="A152" s="10" t="s">
        <v>246</v>
      </c>
      <c r="B152" s="10" t="str">
        <f>[1]!GetFolder(A152)</f>
        <v>C:\Documents and Settings\DAG\My Documents\Visual Studio 2010\Projects\WizardWrx_Libs\ApplicationHelpers\ApplicationHelpersTestHarness\ApplicationHelpersTestHarness</v>
      </c>
      <c r="C152" s="10" t="str">
        <f>IF(LEN(B152)&gt;LEN(Visual_Studio_Source_Code),RIGHT(B152,LEN(B152)-LEN([1]!AddBackslash(Visual_Studio_Source_Code))),B152)</f>
        <v>WizardWrx_Libs\ApplicationHelpers\ApplicationHelpersTestHarness\ApplicationHelpersTestHarness</v>
      </c>
      <c r="D152" s="10" t="str">
        <f>[1]!GetFile(A152)</f>
        <v>Program.cs</v>
      </c>
      <c r="E152" s="13">
        <v>798</v>
      </c>
      <c r="F152" s="13" t="b">
        <f t="shared" si="5"/>
        <v>1</v>
      </c>
      <c r="G152" s="13"/>
      <c r="H152" s="13"/>
      <c r="I152" s="11" t="s">
        <v>265</v>
      </c>
      <c r="J152" s="16" t="str">
        <f t="shared" si="4"/>
        <v>WizardWrx_Libs\ApplicationHelpers\ApplicationHelpersTestHarness\ApplicationHelpersTestHarness</v>
      </c>
    </row>
    <row r="153" spans="1:10" x14ac:dyDescent="0.25">
      <c r="A153" s="10" t="s">
        <v>246</v>
      </c>
      <c r="B153" s="10" t="str">
        <f>[1]!GetFolder(A153)</f>
        <v>C:\Documents and Settings\DAG\My Documents\Visual Studio 2010\Projects\WizardWrx_Libs\ApplicationHelpers\ApplicationHelpersTestHarness\ApplicationHelpersTestHarness</v>
      </c>
      <c r="C153" s="10" t="str">
        <f>IF(LEN(B153)&gt;LEN(Visual_Studio_Source_Code),RIGHT(B153,LEN(B153)-LEN([1]!AddBackslash(Visual_Studio_Source_Code))),B153)</f>
        <v>WizardWrx_Libs\ApplicationHelpers\ApplicationHelpersTestHarness\ApplicationHelpersTestHarness</v>
      </c>
      <c r="D153" s="10" t="str">
        <f>[1]!GetFile(A153)</f>
        <v>Program.cs</v>
      </c>
      <c r="E153" s="13">
        <v>821</v>
      </c>
      <c r="F153" s="13" t="b">
        <f t="shared" si="5"/>
        <v>1</v>
      </c>
      <c r="G153" s="13"/>
      <c r="H153" s="13"/>
      <c r="I153" s="11" t="s">
        <v>265</v>
      </c>
      <c r="J153" s="16" t="str">
        <f t="shared" si="4"/>
        <v>WizardWrx_Libs\ApplicationHelpers\ApplicationHelpersTestHarness\ApplicationHelpersTestHarness</v>
      </c>
    </row>
    <row r="154" spans="1:10" x14ac:dyDescent="0.25">
      <c r="A154" s="10" t="s">
        <v>246</v>
      </c>
      <c r="B154" s="10" t="str">
        <f>[1]!GetFolder(A154)</f>
        <v>C:\Documents and Settings\DAG\My Documents\Visual Studio 2010\Projects\WizardWrx_Libs\ApplicationHelpers\ApplicationHelpersTestHarness\ApplicationHelpersTestHarness</v>
      </c>
      <c r="C154" s="10" t="str">
        <f>IF(LEN(B154)&gt;LEN(Visual_Studio_Source_Code),RIGHT(B154,LEN(B154)-LEN([1]!AddBackslash(Visual_Studio_Source_Code))),B154)</f>
        <v>WizardWrx_Libs\ApplicationHelpers\ApplicationHelpersTestHarness\ApplicationHelpersTestHarness</v>
      </c>
      <c r="D154" s="10" t="str">
        <f>[1]!GetFile(A154)</f>
        <v>Program.cs</v>
      </c>
      <c r="E154" s="13">
        <v>1078</v>
      </c>
      <c r="F154" s="13" t="b">
        <f t="shared" si="5"/>
        <v>1</v>
      </c>
      <c r="G154" s="13"/>
      <c r="H154" s="13"/>
      <c r="I154" s="11" t="s">
        <v>266</v>
      </c>
      <c r="J154" s="16" t="str">
        <f t="shared" si="4"/>
        <v>WizardWrx_Libs\ApplicationHelpers\ApplicationHelpersTestHarness\ApplicationHelpersTestHarness</v>
      </c>
    </row>
    <row r="155" spans="1:10" x14ac:dyDescent="0.25">
      <c r="A155" s="10" t="s">
        <v>246</v>
      </c>
      <c r="B155" s="10" t="str">
        <f>[1]!GetFolder(A155)</f>
        <v>C:\Documents and Settings\DAG\My Documents\Visual Studio 2010\Projects\WizardWrx_Libs\ApplicationHelpers\ApplicationHelpersTestHarness\ApplicationHelpersTestHarness</v>
      </c>
      <c r="C155" s="10" t="str">
        <f>IF(LEN(B155)&gt;LEN(Visual_Studio_Source_Code),RIGHT(B155,LEN(B155)-LEN([1]!AddBackslash(Visual_Studio_Source_Code))),B155)</f>
        <v>WizardWrx_Libs\ApplicationHelpers\ApplicationHelpersTestHarness\ApplicationHelpersTestHarness</v>
      </c>
      <c r="D155" s="10" t="str">
        <f>[1]!GetFile(A155)</f>
        <v>Program.cs</v>
      </c>
      <c r="E155" s="13">
        <v>1090</v>
      </c>
      <c r="F155" s="13" t="b">
        <f t="shared" si="5"/>
        <v>1</v>
      </c>
      <c r="G155" s="13"/>
      <c r="H155" s="13"/>
      <c r="I155" s="11" t="s">
        <v>267</v>
      </c>
      <c r="J155" s="16" t="str">
        <f t="shared" si="4"/>
        <v>WizardWrx_Libs\ApplicationHelpers\ApplicationHelpersTestHarness\ApplicationHelpersTestHarness</v>
      </c>
    </row>
    <row r="156" spans="1:10" x14ac:dyDescent="0.25">
      <c r="A156" s="10" t="s">
        <v>246</v>
      </c>
      <c r="B156" s="10" t="str">
        <f>[1]!GetFolder(A156)</f>
        <v>C:\Documents and Settings\DAG\My Documents\Visual Studio 2010\Projects\WizardWrx_Libs\ApplicationHelpers\ApplicationHelpersTestHarness\ApplicationHelpersTestHarness</v>
      </c>
      <c r="C156" s="10" t="str">
        <f>IF(LEN(B156)&gt;LEN(Visual_Studio_Source_Code),RIGHT(B156,LEN(B156)-LEN([1]!AddBackslash(Visual_Studio_Source_Code))),B156)</f>
        <v>WizardWrx_Libs\ApplicationHelpers\ApplicationHelpersTestHarness\ApplicationHelpersTestHarness</v>
      </c>
      <c r="D156" s="10" t="str">
        <f>[1]!GetFile(A156)</f>
        <v>Program.cs</v>
      </c>
      <c r="E156" s="13">
        <v>1100</v>
      </c>
      <c r="F156" s="13" t="b">
        <f t="shared" si="5"/>
        <v>1</v>
      </c>
      <c r="G156" s="13"/>
      <c r="H156" s="13"/>
      <c r="I156" s="11" t="s">
        <v>268</v>
      </c>
      <c r="J156" s="16" t="str">
        <f t="shared" si="4"/>
        <v>WizardWrx_Libs\ApplicationHelpers\ApplicationHelpersTestHarness\ApplicationHelpersTestHarness</v>
      </c>
    </row>
    <row r="157" spans="1:10" x14ac:dyDescent="0.25">
      <c r="A157" s="10" t="s">
        <v>246</v>
      </c>
      <c r="B157" s="10" t="str">
        <f>[1]!GetFolder(A157)</f>
        <v>C:\Documents and Settings\DAG\My Documents\Visual Studio 2010\Projects\WizardWrx_Libs\ApplicationHelpers\ApplicationHelpersTestHarness\ApplicationHelpersTestHarness</v>
      </c>
      <c r="C157" s="10" t="str">
        <f>IF(LEN(B157)&gt;LEN(Visual_Studio_Source_Code),RIGHT(B157,LEN(B157)-LEN([1]!AddBackslash(Visual_Studio_Source_Code))),B157)</f>
        <v>WizardWrx_Libs\ApplicationHelpers\ApplicationHelpersTestHarness\ApplicationHelpersTestHarness</v>
      </c>
      <c r="D157" s="10" t="str">
        <f>[1]!GetFile(A157)</f>
        <v>Program.cs</v>
      </c>
      <c r="E157" s="13">
        <v>1112</v>
      </c>
      <c r="F157" s="13" t="b">
        <f t="shared" si="5"/>
        <v>1</v>
      </c>
      <c r="G157" s="13"/>
      <c r="H157" s="13"/>
      <c r="I157" s="11" t="s">
        <v>269</v>
      </c>
      <c r="J157" s="16" t="str">
        <f t="shared" si="4"/>
        <v>WizardWrx_Libs\ApplicationHelpers\ApplicationHelpersTestHarness\ApplicationHelpersTestHarness</v>
      </c>
    </row>
    <row r="158" spans="1:10" x14ac:dyDescent="0.25">
      <c r="A158" s="10" t="s">
        <v>246</v>
      </c>
      <c r="B158" s="10" t="str">
        <f>[1]!GetFolder(A158)</f>
        <v>C:\Documents and Settings\DAG\My Documents\Visual Studio 2010\Projects\WizardWrx_Libs\ApplicationHelpers\ApplicationHelpersTestHarness\ApplicationHelpersTestHarness</v>
      </c>
      <c r="C158" s="10" t="str">
        <f>IF(LEN(B158)&gt;LEN(Visual_Studio_Source_Code),RIGHT(B158,LEN(B158)-LEN([1]!AddBackslash(Visual_Studio_Source_Code))),B158)</f>
        <v>WizardWrx_Libs\ApplicationHelpers\ApplicationHelpersTestHarness\ApplicationHelpersTestHarness</v>
      </c>
      <c r="D158" s="10" t="str">
        <f>[1]!GetFile(A158)</f>
        <v>Program.cs</v>
      </c>
      <c r="E158" s="13">
        <v>1116</v>
      </c>
      <c r="F158" s="13" t="b">
        <f t="shared" si="5"/>
        <v>1</v>
      </c>
      <c r="G158" s="13"/>
      <c r="H158" s="13"/>
      <c r="I158" s="11" t="s">
        <v>270</v>
      </c>
      <c r="J158" s="16" t="str">
        <f t="shared" si="4"/>
        <v>WizardWrx_Libs\ApplicationHelpers\ApplicationHelpersTestHarness\ApplicationHelpersTestHarness</v>
      </c>
    </row>
    <row r="159" spans="1:10" x14ac:dyDescent="0.25">
      <c r="A159" s="10" t="s">
        <v>246</v>
      </c>
      <c r="B159" s="10" t="str">
        <f>[1]!GetFolder(A159)</f>
        <v>C:\Documents and Settings\DAG\My Documents\Visual Studio 2010\Projects\WizardWrx_Libs\ApplicationHelpers\ApplicationHelpersTestHarness\ApplicationHelpersTestHarness</v>
      </c>
      <c r="C159" s="10" t="str">
        <f>IF(LEN(B159)&gt;LEN(Visual_Studio_Source_Code),RIGHT(B159,LEN(B159)-LEN([1]!AddBackslash(Visual_Studio_Source_Code))),B159)</f>
        <v>WizardWrx_Libs\ApplicationHelpers\ApplicationHelpersTestHarness\ApplicationHelpersTestHarness</v>
      </c>
      <c r="D159" s="10" t="str">
        <f>[1]!GetFile(A159)</f>
        <v>Program.cs</v>
      </c>
      <c r="E159" s="13">
        <v>1117</v>
      </c>
      <c r="F159" s="13" t="b">
        <f t="shared" si="5"/>
        <v>1</v>
      </c>
      <c r="G159" s="13"/>
      <c r="H159" s="13"/>
      <c r="I159" s="11" t="s">
        <v>271</v>
      </c>
      <c r="J159" s="16" t="str">
        <f t="shared" si="4"/>
        <v>WizardWrx_Libs\ApplicationHelpers\ApplicationHelpersTestHarness\ApplicationHelpersTestHarness</v>
      </c>
    </row>
    <row r="160" spans="1:10" x14ac:dyDescent="0.25">
      <c r="A160" s="10" t="s">
        <v>246</v>
      </c>
      <c r="B160" s="10" t="str">
        <f>[1]!GetFolder(A160)</f>
        <v>C:\Documents and Settings\DAG\My Documents\Visual Studio 2010\Projects\WizardWrx_Libs\ApplicationHelpers\ApplicationHelpersTestHarness\ApplicationHelpersTestHarness</v>
      </c>
      <c r="C160" s="10" t="str">
        <f>IF(LEN(B160)&gt;LEN(Visual_Studio_Source_Code),RIGHT(B160,LEN(B160)-LEN([1]!AddBackslash(Visual_Studio_Source_Code))),B160)</f>
        <v>WizardWrx_Libs\ApplicationHelpers\ApplicationHelpersTestHarness\ApplicationHelpersTestHarness</v>
      </c>
      <c r="D160" s="10" t="str">
        <f>[1]!GetFile(A160)</f>
        <v>Program.cs</v>
      </c>
      <c r="E160" s="13">
        <v>1120</v>
      </c>
      <c r="F160" s="13" t="b">
        <f t="shared" si="5"/>
        <v>1</v>
      </c>
      <c r="G160" s="13"/>
      <c r="H160" s="13"/>
      <c r="I160" s="11" t="s">
        <v>272</v>
      </c>
      <c r="J160" s="16" t="str">
        <f t="shared" si="4"/>
        <v>WizardWrx_Libs\ApplicationHelpers\ApplicationHelpersTestHarness\ApplicationHelpersTestHarness</v>
      </c>
    </row>
    <row r="161" spans="1:10" x14ac:dyDescent="0.25">
      <c r="A161" s="10" t="s">
        <v>246</v>
      </c>
      <c r="B161" s="10" t="str">
        <f>[1]!GetFolder(A161)</f>
        <v>C:\Documents and Settings\DAG\My Documents\Visual Studio 2010\Projects\WizardWrx_Libs\ApplicationHelpers\ApplicationHelpersTestHarness\ApplicationHelpersTestHarness</v>
      </c>
      <c r="C161" s="10" t="str">
        <f>IF(LEN(B161)&gt;LEN(Visual_Studio_Source_Code),RIGHT(B161,LEN(B161)-LEN([1]!AddBackslash(Visual_Studio_Source_Code))),B161)</f>
        <v>WizardWrx_Libs\ApplicationHelpers\ApplicationHelpersTestHarness\ApplicationHelpersTestHarness</v>
      </c>
      <c r="D161" s="10" t="str">
        <f>[1]!GetFile(A161)</f>
        <v>Program.cs</v>
      </c>
      <c r="E161" s="13">
        <v>1242</v>
      </c>
      <c r="F161" s="13" t="b">
        <f t="shared" si="5"/>
        <v>1</v>
      </c>
      <c r="G161" s="13"/>
      <c r="H161" s="13"/>
      <c r="I161" s="11" t="s">
        <v>273</v>
      </c>
      <c r="J161" s="16" t="str">
        <f t="shared" si="4"/>
        <v>WizardWrx_Libs\ApplicationHelpers\ApplicationHelpersTestHarness\ApplicationHelpersTestHarness</v>
      </c>
    </row>
    <row r="162" spans="1:10" x14ac:dyDescent="0.25">
      <c r="A162" s="10" t="s">
        <v>246</v>
      </c>
      <c r="B162" s="10" t="str">
        <f>[1]!GetFolder(A162)</f>
        <v>C:\Documents and Settings\DAG\My Documents\Visual Studio 2010\Projects\WizardWrx_Libs\ApplicationHelpers\ApplicationHelpersTestHarness\ApplicationHelpersTestHarness</v>
      </c>
      <c r="C162" s="10" t="str">
        <f>IF(LEN(B162)&gt;LEN(Visual_Studio_Source_Code),RIGHT(B162,LEN(B162)-LEN([1]!AddBackslash(Visual_Studio_Source_Code))),B162)</f>
        <v>WizardWrx_Libs\ApplicationHelpers\ApplicationHelpersTestHarness\ApplicationHelpersTestHarness</v>
      </c>
      <c r="D162" s="10" t="str">
        <f>[1]!GetFile(A162)</f>
        <v>Program.cs</v>
      </c>
      <c r="E162" s="13">
        <v>1243</v>
      </c>
      <c r="F162" s="13" t="b">
        <f t="shared" si="5"/>
        <v>1</v>
      </c>
      <c r="G162" s="13"/>
      <c r="H162" s="13"/>
      <c r="I162" s="11" t="s">
        <v>274</v>
      </c>
      <c r="J162" s="16" t="str">
        <f t="shared" si="4"/>
        <v>WizardWrx_Libs\ApplicationHelpers\ApplicationHelpersTestHarness\ApplicationHelpersTestHarness</v>
      </c>
    </row>
    <row r="163" spans="1:10" x14ac:dyDescent="0.25">
      <c r="A163" s="10" t="s">
        <v>246</v>
      </c>
      <c r="B163" s="10" t="str">
        <f>[1]!GetFolder(A163)</f>
        <v>C:\Documents and Settings\DAG\My Documents\Visual Studio 2010\Projects\WizardWrx_Libs\ApplicationHelpers\ApplicationHelpersTestHarness\ApplicationHelpersTestHarness</v>
      </c>
      <c r="C163" s="10" t="str">
        <f>IF(LEN(B163)&gt;LEN(Visual_Studio_Source_Code),RIGHT(B163,LEN(B163)-LEN([1]!AddBackslash(Visual_Studio_Source_Code))),B163)</f>
        <v>WizardWrx_Libs\ApplicationHelpers\ApplicationHelpersTestHarness\ApplicationHelpersTestHarness</v>
      </c>
      <c r="D163" s="10" t="str">
        <f>[1]!GetFile(A163)</f>
        <v>Program.cs</v>
      </c>
      <c r="E163" s="13">
        <v>1244</v>
      </c>
      <c r="F163" s="13" t="b">
        <f t="shared" si="5"/>
        <v>1</v>
      </c>
      <c r="G163" s="13"/>
      <c r="H163" s="13"/>
      <c r="I163" s="11" t="s">
        <v>275</v>
      </c>
      <c r="J163" s="16" t="str">
        <f t="shared" si="4"/>
        <v>WizardWrx_Libs\ApplicationHelpers\ApplicationHelpersTestHarness\ApplicationHelpersTestHarness</v>
      </c>
    </row>
    <row r="164" spans="1:10" x14ac:dyDescent="0.25">
      <c r="A164" s="10" t="s">
        <v>246</v>
      </c>
      <c r="B164" s="10" t="str">
        <f>[1]!GetFolder(A164)</f>
        <v>C:\Documents and Settings\DAG\My Documents\Visual Studio 2010\Projects\WizardWrx_Libs\ApplicationHelpers\ApplicationHelpersTestHarness\ApplicationHelpersTestHarness</v>
      </c>
      <c r="C164" s="10" t="str">
        <f>IF(LEN(B164)&gt;LEN(Visual_Studio_Source_Code),RIGHT(B164,LEN(B164)-LEN([1]!AddBackslash(Visual_Studio_Source_Code))),B164)</f>
        <v>WizardWrx_Libs\ApplicationHelpers\ApplicationHelpersTestHarness\ApplicationHelpersTestHarness</v>
      </c>
      <c r="D164" s="10" t="str">
        <f>[1]!GetFile(A164)</f>
        <v>Program.cs</v>
      </c>
      <c r="E164" s="13">
        <v>1265</v>
      </c>
      <c r="F164" s="13" t="b">
        <f t="shared" si="5"/>
        <v>1</v>
      </c>
      <c r="G164" s="13"/>
      <c r="H164" s="13"/>
      <c r="I164" s="11" t="s">
        <v>276</v>
      </c>
      <c r="J164" s="16" t="str">
        <f t="shared" si="4"/>
        <v>WizardWrx_Libs\ApplicationHelpers\ApplicationHelpersTestHarness\ApplicationHelpersTestHarness</v>
      </c>
    </row>
    <row r="165" spans="1:10" x14ac:dyDescent="0.25">
      <c r="A165" s="10" t="s">
        <v>246</v>
      </c>
      <c r="B165" s="10" t="str">
        <f>[1]!GetFolder(A165)</f>
        <v>C:\Documents and Settings\DAG\My Documents\Visual Studio 2010\Projects\WizardWrx_Libs\ApplicationHelpers\ApplicationHelpersTestHarness\ApplicationHelpersTestHarness</v>
      </c>
      <c r="C165" s="10" t="str">
        <f>IF(LEN(B165)&gt;LEN(Visual_Studio_Source_Code),RIGHT(B165,LEN(B165)-LEN([1]!AddBackslash(Visual_Studio_Source_Code))),B165)</f>
        <v>WizardWrx_Libs\ApplicationHelpers\ApplicationHelpersTestHarness\ApplicationHelpersTestHarness</v>
      </c>
      <c r="D165" s="10" t="str">
        <f>[1]!GetFile(A165)</f>
        <v>Program.cs</v>
      </c>
      <c r="E165" s="13">
        <v>1266</v>
      </c>
      <c r="F165" s="13" t="b">
        <f t="shared" si="5"/>
        <v>1</v>
      </c>
      <c r="G165" s="13"/>
      <c r="H165" s="13"/>
      <c r="I165" s="11" t="s">
        <v>277</v>
      </c>
      <c r="J165" s="16" t="str">
        <f t="shared" si="4"/>
        <v>WizardWrx_Libs\ApplicationHelpers\ApplicationHelpersTestHarness\ApplicationHelpersTestHarness</v>
      </c>
    </row>
    <row r="166" spans="1:10" x14ac:dyDescent="0.25">
      <c r="A166" s="10" t="s">
        <v>246</v>
      </c>
      <c r="B166" s="10" t="str">
        <f>[1]!GetFolder(A166)</f>
        <v>C:\Documents and Settings\DAG\My Documents\Visual Studio 2010\Projects\WizardWrx_Libs\ApplicationHelpers\ApplicationHelpersTestHarness\ApplicationHelpersTestHarness</v>
      </c>
      <c r="C166" s="10" t="str">
        <f>IF(LEN(B166)&gt;LEN(Visual_Studio_Source_Code),RIGHT(B166,LEN(B166)-LEN([1]!AddBackslash(Visual_Studio_Source_Code))),B166)</f>
        <v>WizardWrx_Libs\ApplicationHelpers\ApplicationHelpersTestHarness\ApplicationHelpersTestHarness</v>
      </c>
      <c r="D166" s="10" t="str">
        <f>[1]!GetFile(A166)</f>
        <v>Program.cs</v>
      </c>
      <c r="E166" s="13">
        <v>1267</v>
      </c>
      <c r="F166" s="13" t="b">
        <f t="shared" si="5"/>
        <v>1</v>
      </c>
      <c r="G166" s="13"/>
      <c r="H166" s="13"/>
      <c r="I166" s="11" t="s">
        <v>278</v>
      </c>
      <c r="J166" s="16" t="str">
        <f t="shared" si="4"/>
        <v>WizardWrx_Libs\ApplicationHelpers\ApplicationHelpersTestHarness\ApplicationHelpersTestHarness</v>
      </c>
    </row>
    <row r="167" spans="1:10" x14ac:dyDescent="0.25">
      <c r="A167" s="10" t="s">
        <v>246</v>
      </c>
      <c r="B167" s="10" t="str">
        <f>[1]!GetFolder(A167)</f>
        <v>C:\Documents and Settings\DAG\My Documents\Visual Studio 2010\Projects\WizardWrx_Libs\ApplicationHelpers\ApplicationHelpersTestHarness\ApplicationHelpersTestHarness</v>
      </c>
      <c r="C167" s="10" t="str">
        <f>IF(LEN(B167)&gt;LEN(Visual_Studio_Source_Code),RIGHT(B167,LEN(B167)-LEN([1]!AddBackslash(Visual_Studio_Source_Code))),B167)</f>
        <v>WizardWrx_Libs\ApplicationHelpers\ApplicationHelpersTestHarness\ApplicationHelpersTestHarness</v>
      </c>
      <c r="D167" s="10" t="str">
        <f>[1]!GetFile(A167)</f>
        <v>Program.cs</v>
      </c>
      <c r="E167" s="13">
        <v>2434</v>
      </c>
      <c r="F167" s="13" t="b">
        <f t="shared" si="5"/>
        <v>1</v>
      </c>
      <c r="G167" s="13"/>
      <c r="H167" s="13"/>
      <c r="I167" s="11" t="s">
        <v>279</v>
      </c>
      <c r="J167" s="16" t="str">
        <f t="shared" si="4"/>
        <v>WizardWrx_Libs\ApplicationHelpers\ApplicationHelpersTestHarness\ApplicationHelpersTestHarness</v>
      </c>
    </row>
    <row r="168" spans="1:10" x14ac:dyDescent="0.25">
      <c r="A168" s="10" t="s">
        <v>280</v>
      </c>
      <c r="B168" s="10" t="str">
        <f>[1]!GetFolder(A168)</f>
        <v>C:\Documents and Settings\DAG\My Documents\Visual Studio 2010\Projects\WizardWrx_Libs\ApplicationHelpers\ApplicationHelpersTestHarness\ApplicationHelpersTestHarness\Properties</v>
      </c>
      <c r="C168" s="10" t="str">
        <f>IF(LEN(B168)&gt;LEN(Visual_Studio_Source_Code),RIGHT(B168,LEN(B168)-LEN([1]!AddBackslash(Visual_Studio_Source_Code))),B168)</f>
        <v>WizardWrx_Libs\ApplicationHelpers\ApplicationHelpersTestHarness\ApplicationHelpersTestHarness\Properties</v>
      </c>
      <c r="D168" s="10" t="str">
        <f>[1]!GetFile(A168)</f>
        <v>Resources.Designer.cs</v>
      </c>
      <c r="E168" s="13">
        <v>75</v>
      </c>
      <c r="F168" s="13" t="b">
        <f t="shared" si="5"/>
        <v>1</v>
      </c>
      <c r="G168" s="13"/>
      <c r="H168" s="13"/>
      <c r="I168" s="11" t="s">
        <v>281</v>
      </c>
      <c r="J168" s="16" t="str">
        <f t="shared" si="4"/>
        <v>WizardWrx_Libs\ApplicationHelpers\ApplicationHelpersTestHarness\ApplicationHelpersTestHarness\Properties</v>
      </c>
    </row>
    <row r="169" spans="1:10" x14ac:dyDescent="0.25">
      <c r="A169" s="10" t="s">
        <v>280</v>
      </c>
      <c r="B169" s="10" t="str">
        <f>[1]!GetFolder(A169)</f>
        <v>C:\Documents and Settings\DAG\My Documents\Visual Studio 2010\Projects\WizardWrx_Libs\ApplicationHelpers\ApplicationHelpersTestHarness\ApplicationHelpersTestHarness\Properties</v>
      </c>
      <c r="C169" s="10" t="str">
        <f>IF(LEN(B169)&gt;LEN(Visual_Studio_Source_Code),RIGHT(B169,LEN(B169)-LEN([1]!AddBackslash(Visual_Studio_Source_Code))),B169)</f>
        <v>WizardWrx_Libs\ApplicationHelpers\ApplicationHelpersTestHarness\ApplicationHelpersTestHarness\Properties</v>
      </c>
      <c r="D169" s="10" t="str">
        <f>[1]!GetFile(A169)</f>
        <v>Resources.Designer.cs</v>
      </c>
      <c r="E169" s="13">
        <v>77</v>
      </c>
      <c r="F169" s="13" t="b">
        <f t="shared" si="5"/>
        <v>1</v>
      </c>
      <c r="G169" s="13"/>
      <c r="H169" s="13"/>
      <c r="I169" s="11" t="s">
        <v>282</v>
      </c>
      <c r="J169" s="16" t="str">
        <f t="shared" si="4"/>
        <v>WizardWrx_Libs\ApplicationHelpers\ApplicationHelpersTestHarness\ApplicationHelpersTestHarness\Properties</v>
      </c>
    </row>
    <row r="170" spans="1:10" x14ac:dyDescent="0.25">
      <c r="A170" s="10" t="s">
        <v>283</v>
      </c>
      <c r="B170" s="10" t="str">
        <f>[1]!GetFolder(A170)</f>
        <v>C:\Documents and Settings\DAG\My Documents\Visual Studio 2010\Projects\WizardWrx_Libs\ApplicationHelpers\EOJTEST</v>
      </c>
      <c r="C170" s="10" t="str">
        <f>IF(LEN(B170)&gt;LEN(Visual_Studio_Source_Code),RIGHT(B170,LEN(B170)-LEN([1]!AddBackslash(Visual_Studio_Source_Code))),B170)</f>
        <v>WizardWrx_Libs\ApplicationHelpers\EOJTEST</v>
      </c>
      <c r="D170" s="10" t="str">
        <f>[1]!GetFile(A170)</f>
        <v>Program.cs</v>
      </c>
      <c r="E170" s="13">
        <v>140</v>
      </c>
      <c r="F170" s="13" t="b">
        <f t="shared" si="5"/>
        <v>1</v>
      </c>
      <c r="G170" s="13"/>
      <c r="H170" s="13"/>
      <c r="I170" s="11" t="s">
        <v>284</v>
      </c>
      <c r="J170" s="16" t="str">
        <f t="shared" si="4"/>
        <v>WizardWrx_Libs\ApplicationHelpers\EOJTEST</v>
      </c>
    </row>
    <row r="171" spans="1:10" x14ac:dyDescent="0.25">
      <c r="A171" s="10" t="s">
        <v>285</v>
      </c>
      <c r="B171" s="10" t="str">
        <f>[1]!GetFolder(A171)</f>
        <v>C:\Documents and Settings\DAG\My Documents\Visual Studio 2010\Projects\WizardWrx_Libs\ConsoleAppAids\ConsoleAppAids</v>
      </c>
      <c r="C171" s="10" t="str">
        <f>IF(LEN(B171)&gt;LEN(Visual_Studio_Source_Code),RIGHT(B171,LEN(B171)-LEN([1]!AddBackslash(Visual_Studio_Source_Code))),B171)</f>
        <v>WizardWrx_Libs\ConsoleAppAids\ConsoleAppAids</v>
      </c>
      <c r="D171" s="10" t="str">
        <f>[1]!GetFile(A171)</f>
        <v>DisplayAids.CS</v>
      </c>
      <c r="E171" s="13">
        <v>134</v>
      </c>
      <c r="F171" s="13" t="b">
        <f t="shared" si="5"/>
        <v>1</v>
      </c>
      <c r="G171" s="13"/>
      <c r="H171" s="13"/>
      <c r="I171" s="11" t="s">
        <v>286</v>
      </c>
      <c r="J171" s="16" t="str">
        <f t="shared" si="4"/>
        <v>WizardWrx_Libs\ConsoleAppAids\ConsoleAppAids</v>
      </c>
    </row>
    <row r="172" spans="1:10" x14ac:dyDescent="0.25">
      <c r="A172" s="10" t="s">
        <v>285</v>
      </c>
      <c r="B172" s="10" t="str">
        <f>[1]!GetFolder(A172)</f>
        <v>C:\Documents and Settings\DAG\My Documents\Visual Studio 2010\Projects\WizardWrx_Libs\ConsoleAppAids\ConsoleAppAids</v>
      </c>
      <c r="C172" s="10" t="str">
        <f>IF(LEN(B172)&gt;LEN(Visual_Studio_Source_Code),RIGHT(B172,LEN(B172)-LEN([1]!AddBackslash(Visual_Studio_Source_Code))),B172)</f>
        <v>WizardWrx_Libs\ConsoleAppAids\ConsoleAppAids</v>
      </c>
      <c r="D172" s="10" t="str">
        <f>[1]!GetFile(A172)</f>
        <v>DisplayAids.CS</v>
      </c>
      <c r="E172" s="13">
        <v>156</v>
      </c>
      <c r="F172" s="13" t="b">
        <f t="shared" si="5"/>
        <v>1</v>
      </c>
      <c r="G172" s="13"/>
      <c r="H172" s="13"/>
      <c r="I172" s="11" t="s">
        <v>287</v>
      </c>
      <c r="J172" s="16" t="str">
        <f t="shared" si="4"/>
        <v>WizardWrx_Libs\ConsoleAppAids\ConsoleAppAids</v>
      </c>
    </row>
    <row r="173" spans="1:10" x14ac:dyDescent="0.25">
      <c r="A173" s="10" t="s">
        <v>285</v>
      </c>
      <c r="B173" s="10" t="str">
        <f>[1]!GetFolder(A173)</f>
        <v>C:\Documents and Settings\DAG\My Documents\Visual Studio 2010\Projects\WizardWrx_Libs\ConsoleAppAids\ConsoleAppAids</v>
      </c>
      <c r="C173" s="10" t="str">
        <f>IF(LEN(B173)&gt;LEN(Visual_Studio_Source_Code),RIGHT(B173,LEN(B173)-LEN([1]!AddBackslash(Visual_Studio_Source_Code))),B173)</f>
        <v>WizardWrx_Libs\ConsoleAppAids\ConsoleAppAids</v>
      </c>
      <c r="D173" s="10" t="str">
        <f>[1]!GetFile(A173)</f>
        <v>DisplayAids.CS</v>
      </c>
      <c r="E173" s="13">
        <v>158</v>
      </c>
      <c r="F173" s="13" t="b">
        <f t="shared" si="5"/>
        <v>1</v>
      </c>
      <c r="G173" s="13"/>
      <c r="H173" s="13"/>
      <c r="I173" s="11" t="s">
        <v>288</v>
      </c>
      <c r="J173" s="16" t="str">
        <f t="shared" si="4"/>
        <v>WizardWrx_Libs\ConsoleAppAids\ConsoleAppAids</v>
      </c>
    </row>
    <row r="174" spans="1:10" x14ac:dyDescent="0.25">
      <c r="A174" s="10" t="s">
        <v>34</v>
      </c>
      <c r="B174" s="10" t="str">
        <f>[1]!GetFolder(A174)</f>
        <v>C:\Documents and Settings\DAG\My Documents\Visual Studio 2010\Projects\WizardWrx_Libs\ConsoleAppAids\ConsoleAppAids</v>
      </c>
      <c r="C174" s="10" t="str">
        <f>IF(LEN(B174)&gt;LEN(Visual_Studio_Source_Code),RIGHT(B174,LEN(B174)-LEN([1]!AddBackslash(Visual_Studio_Source_Code))),B174)</f>
        <v>WizardWrx_Libs\ConsoleAppAids\ConsoleAppAids</v>
      </c>
      <c r="D174" s="10" t="str">
        <f>[1]!GetFile(A174)</f>
        <v>ExceptionReporting.cs</v>
      </c>
      <c r="E174" s="13">
        <v>654</v>
      </c>
      <c r="F174" s="13" t="b">
        <f t="shared" si="5"/>
        <v>1</v>
      </c>
      <c r="G174" s="13"/>
      <c r="H174" s="13"/>
      <c r="I174" s="11" t="s">
        <v>289</v>
      </c>
      <c r="J174" s="16" t="str">
        <f t="shared" si="4"/>
        <v>WizardWrx_Libs\ConsoleAppAids\ConsoleAppAids</v>
      </c>
    </row>
    <row r="175" spans="1:10" x14ac:dyDescent="0.25">
      <c r="A175" s="10" t="s">
        <v>34</v>
      </c>
      <c r="B175" s="10" t="str">
        <f>[1]!GetFolder(A175)</f>
        <v>C:\Documents and Settings\DAG\My Documents\Visual Studio 2010\Projects\WizardWrx_Libs\ConsoleAppAids\ConsoleAppAids</v>
      </c>
      <c r="C175" s="10" t="str">
        <f>IF(LEN(B175)&gt;LEN(Visual_Studio_Source_Code),RIGHT(B175,LEN(B175)-LEN([1]!AddBackslash(Visual_Studio_Source_Code))),B175)</f>
        <v>WizardWrx_Libs\ConsoleAppAids\ConsoleAppAids</v>
      </c>
      <c r="D175" s="10" t="str">
        <f>[1]!GetFile(A175)</f>
        <v>ExceptionReporting.cs</v>
      </c>
      <c r="E175" s="13">
        <v>664</v>
      </c>
      <c r="F175" s="13" t="b">
        <f t="shared" si="5"/>
        <v>1</v>
      </c>
      <c r="G175" s="13"/>
      <c r="H175" s="13"/>
      <c r="I175" s="11" t="s">
        <v>290</v>
      </c>
      <c r="J175" s="16" t="str">
        <f t="shared" si="4"/>
        <v>WizardWrx_Libs\ConsoleAppAids\ConsoleAppAids</v>
      </c>
    </row>
    <row r="176" spans="1:10" x14ac:dyDescent="0.25">
      <c r="A176" s="10" t="s">
        <v>45</v>
      </c>
      <c r="B176" s="10" t="str">
        <f>[1]!GetFolder(A176)</f>
        <v>C:\Documents and Settings\DAG\My Documents\Visual Studio 2010\Projects\WizardWrx_Libs\ConsoleAppAids\TestStand</v>
      </c>
      <c r="C176" s="10" t="str">
        <f>IF(LEN(B176)&gt;LEN(Visual_Studio_Source_Code),RIGHT(B176,LEN(B176)-LEN([1]!AddBackslash(Visual_Studio_Source_Code))),B176)</f>
        <v>WizardWrx_Libs\ConsoleAppAids\TestStand</v>
      </c>
      <c r="D176" s="10" t="str">
        <f>[1]!GetFile(A176)</f>
        <v>Program.cs</v>
      </c>
      <c r="E176" s="13">
        <v>231</v>
      </c>
      <c r="F176" s="13" t="b">
        <f t="shared" si="5"/>
        <v>1</v>
      </c>
      <c r="G176" s="13"/>
      <c r="H176" s="13"/>
      <c r="I176" s="11" t="s">
        <v>291</v>
      </c>
      <c r="J176" s="16" t="str">
        <f t="shared" si="4"/>
        <v>WizardWrx_Libs\ConsoleAppAids\TestStand</v>
      </c>
    </row>
    <row r="177" spans="1:10" x14ac:dyDescent="0.25">
      <c r="A177" s="10" t="s">
        <v>45</v>
      </c>
      <c r="B177" s="10" t="str">
        <f>[1]!GetFolder(A177)</f>
        <v>C:\Documents and Settings\DAG\My Documents\Visual Studio 2010\Projects\WizardWrx_Libs\ConsoleAppAids\TestStand</v>
      </c>
      <c r="C177" s="10" t="str">
        <f>IF(LEN(B177)&gt;LEN(Visual_Studio_Source_Code),RIGHT(B177,LEN(B177)-LEN([1]!AddBackslash(Visual_Studio_Source_Code))),B177)</f>
        <v>WizardWrx_Libs\ConsoleAppAids\TestStand</v>
      </c>
      <c r="D177" s="10" t="str">
        <f>[1]!GetFile(A177)</f>
        <v>Program.cs</v>
      </c>
      <c r="E177" s="13">
        <v>232</v>
      </c>
      <c r="F177" s="13" t="b">
        <f t="shared" si="5"/>
        <v>1</v>
      </c>
      <c r="G177" s="13"/>
      <c r="H177" s="13"/>
      <c r="I177" s="11" t="s">
        <v>292</v>
      </c>
      <c r="J177" s="16" t="str">
        <f t="shared" si="4"/>
        <v>WizardWrx_Libs\ConsoleAppAids\TestStand</v>
      </c>
    </row>
    <row r="178" spans="1:10" x14ac:dyDescent="0.25">
      <c r="A178" s="10" t="s">
        <v>45</v>
      </c>
      <c r="B178" s="10" t="str">
        <f>[1]!GetFolder(A178)</f>
        <v>C:\Documents and Settings\DAG\My Documents\Visual Studio 2010\Projects\WizardWrx_Libs\ConsoleAppAids\TestStand</v>
      </c>
      <c r="C178" s="10" t="str">
        <f>IF(LEN(B178)&gt;LEN(Visual_Studio_Source_Code),RIGHT(B178,LEN(B178)-LEN([1]!AddBackslash(Visual_Studio_Source_Code))),B178)</f>
        <v>WizardWrx_Libs\ConsoleAppAids\TestStand</v>
      </c>
      <c r="D178" s="10" t="str">
        <f>[1]!GetFile(A178)</f>
        <v>Program.cs</v>
      </c>
      <c r="E178" s="13">
        <v>233</v>
      </c>
      <c r="F178" s="13" t="b">
        <f t="shared" si="5"/>
        <v>1</v>
      </c>
      <c r="G178" s="13"/>
      <c r="H178" s="13"/>
      <c r="I178" s="11" t="s">
        <v>293</v>
      </c>
      <c r="J178" s="16" t="str">
        <f t="shared" si="4"/>
        <v>WizardWrx_Libs\ConsoleAppAids\TestStand</v>
      </c>
    </row>
    <row r="179" spans="1:10" x14ac:dyDescent="0.25">
      <c r="A179" s="10" t="s">
        <v>45</v>
      </c>
      <c r="B179" s="10" t="str">
        <f>[1]!GetFolder(A179)</f>
        <v>C:\Documents and Settings\DAG\My Documents\Visual Studio 2010\Projects\WizardWrx_Libs\ConsoleAppAids\TestStand</v>
      </c>
      <c r="C179" s="10" t="str">
        <f>IF(LEN(B179)&gt;LEN(Visual_Studio_Source_Code),RIGHT(B179,LEN(B179)-LEN([1]!AddBackslash(Visual_Studio_Source_Code))),B179)</f>
        <v>WizardWrx_Libs\ConsoleAppAids\TestStand</v>
      </c>
      <c r="D179" s="10" t="str">
        <f>[1]!GetFile(A179)</f>
        <v>Program.cs</v>
      </c>
      <c r="E179" s="13">
        <v>364</v>
      </c>
      <c r="F179" s="13" t="b">
        <f t="shared" si="5"/>
        <v>1</v>
      </c>
      <c r="G179" s="13"/>
      <c r="H179" s="13"/>
      <c r="I179" s="11" t="s">
        <v>294</v>
      </c>
      <c r="J179" s="16" t="str">
        <f t="shared" si="4"/>
        <v>WizardWrx_Libs\ConsoleAppAids\TestStand</v>
      </c>
    </row>
    <row r="180" spans="1:10" x14ac:dyDescent="0.25">
      <c r="A180" s="10" t="s">
        <v>45</v>
      </c>
      <c r="B180" s="10" t="str">
        <f>[1]!GetFolder(A180)</f>
        <v>C:\Documents and Settings\DAG\My Documents\Visual Studio 2010\Projects\WizardWrx_Libs\ConsoleAppAids\TestStand</v>
      </c>
      <c r="C180" s="10" t="str">
        <f>IF(LEN(B180)&gt;LEN(Visual_Studio_Source_Code),RIGHT(B180,LEN(B180)-LEN([1]!AddBackslash(Visual_Studio_Source_Code))),B180)</f>
        <v>WizardWrx_Libs\ConsoleAppAids\TestStand</v>
      </c>
      <c r="D180" s="10" t="str">
        <f>[1]!GetFile(A180)</f>
        <v>Program.cs</v>
      </c>
      <c r="E180" s="13">
        <v>405</v>
      </c>
      <c r="F180" s="13" t="b">
        <f t="shared" si="5"/>
        <v>1</v>
      </c>
      <c r="G180" s="13"/>
      <c r="H180" s="13"/>
      <c r="I180" s="11" t="s">
        <v>294</v>
      </c>
      <c r="J180" s="16" t="str">
        <f t="shared" si="4"/>
        <v>WizardWrx_Libs\ConsoleAppAids\TestStand</v>
      </c>
    </row>
    <row r="181" spans="1:10" x14ac:dyDescent="0.25">
      <c r="A181" s="10" t="s">
        <v>45</v>
      </c>
      <c r="B181" s="10" t="str">
        <f>[1]!GetFolder(A181)</f>
        <v>C:\Documents and Settings\DAG\My Documents\Visual Studio 2010\Projects\WizardWrx_Libs\ConsoleAppAids\TestStand</v>
      </c>
      <c r="C181" s="10" t="str">
        <f>IF(LEN(B181)&gt;LEN(Visual_Studio_Source_Code),RIGHT(B181,LEN(B181)-LEN([1]!AddBackslash(Visual_Studio_Source_Code))),B181)</f>
        <v>WizardWrx_Libs\ConsoleAppAids\TestStand</v>
      </c>
      <c r="D181" s="10" t="str">
        <f>[1]!GetFile(A181)</f>
        <v>Program.cs</v>
      </c>
      <c r="E181" s="13">
        <v>1359</v>
      </c>
      <c r="F181" s="13" t="b">
        <f t="shared" si="5"/>
        <v>1</v>
      </c>
      <c r="G181" s="13"/>
      <c r="H181" s="13"/>
      <c r="I181" s="11" t="s">
        <v>162</v>
      </c>
      <c r="J181" s="16" t="str">
        <f t="shared" si="4"/>
        <v>WizardWrx_Libs\ConsoleAppAids\TestStand</v>
      </c>
    </row>
    <row r="182" spans="1:10" x14ac:dyDescent="0.25">
      <c r="A182" s="10" t="s">
        <v>45</v>
      </c>
      <c r="B182" s="10" t="str">
        <f>[1]!GetFolder(A182)</f>
        <v>C:\Documents and Settings\DAG\My Documents\Visual Studio 2010\Projects\WizardWrx_Libs\ConsoleAppAids\TestStand</v>
      </c>
      <c r="C182" s="10" t="str">
        <f>IF(LEN(B182)&gt;LEN(Visual_Studio_Source_Code),RIGHT(B182,LEN(B182)-LEN([1]!AddBackslash(Visual_Studio_Source_Code))),B182)</f>
        <v>WizardWrx_Libs\ConsoleAppAids\TestStand</v>
      </c>
      <c r="D182" s="10" t="str">
        <f>[1]!GetFile(A182)</f>
        <v>Program.cs</v>
      </c>
      <c r="E182" s="13">
        <v>1445</v>
      </c>
      <c r="F182" s="13" t="b">
        <f t="shared" si="5"/>
        <v>1</v>
      </c>
      <c r="G182" s="13"/>
      <c r="H182" s="13"/>
      <c r="I182" s="11" t="s">
        <v>295</v>
      </c>
      <c r="J182" s="16" t="str">
        <f t="shared" si="4"/>
        <v>WizardWrx_Libs\ConsoleAppAids\TestStand</v>
      </c>
    </row>
    <row r="183" spans="1:10" x14ac:dyDescent="0.25">
      <c r="A183" s="10" t="s">
        <v>45</v>
      </c>
      <c r="B183" s="10" t="str">
        <f>[1]!GetFolder(A183)</f>
        <v>C:\Documents and Settings\DAG\My Documents\Visual Studio 2010\Projects\WizardWrx_Libs\ConsoleAppAids\TestStand</v>
      </c>
      <c r="C183" s="10" t="str">
        <f>IF(LEN(B183)&gt;LEN(Visual_Studio_Source_Code),RIGHT(B183,LEN(B183)-LEN([1]!AddBackslash(Visual_Studio_Source_Code))),B183)</f>
        <v>WizardWrx_Libs\ConsoleAppAids\TestStand</v>
      </c>
      <c r="D183" s="10" t="str">
        <f>[1]!GetFile(A183)</f>
        <v>Program.cs</v>
      </c>
      <c r="E183" s="13">
        <v>1446</v>
      </c>
      <c r="F183" s="13" t="b">
        <f t="shared" si="5"/>
        <v>1</v>
      </c>
      <c r="G183" s="13"/>
      <c r="H183" s="13"/>
      <c r="I183" s="11" t="s">
        <v>296</v>
      </c>
      <c r="J183" s="16" t="str">
        <f t="shared" si="4"/>
        <v>WizardWrx_Libs\ConsoleAppAids\TestStand</v>
      </c>
    </row>
    <row r="184" spans="1:10" x14ac:dyDescent="0.25">
      <c r="A184" s="10" t="s">
        <v>45</v>
      </c>
      <c r="B184" s="10" t="str">
        <f>[1]!GetFolder(A184)</f>
        <v>C:\Documents and Settings\DAG\My Documents\Visual Studio 2010\Projects\WizardWrx_Libs\ConsoleAppAids\TestStand</v>
      </c>
      <c r="C184" s="10" t="str">
        <f>IF(LEN(B184)&gt;LEN(Visual_Studio_Source_Code),RIGHT(B184,LEN(B184)-LEN([1]!AddBackslash(Visual_Studio_Source_Code))),B184)</f>
        <v>WizardWrx_Libs\ConsoleAppAids\TestStand</v>
      </c>
      <c r="D184" s="10" t="str">
        <f>[1]!GetFile(A184)</f>
        <v>Program.cs</v>
      </c>
      <c r="E184" s="13">
        <v>1469</v>
      </c>
      <c r="F184" s="13" t="b">
        <f t="shared" si="5"/>
        <v>1</v>
      </c>
      <c r="G184" s="13"/>
      <c r="H184" s="13"/>
      <c r="I184" s="11" t="s">
        <v>297</v>
      </c>
      <c r="J184" s="16" t="str">
        <f t="shared" si="4"/>
        <v>WizardWrx_Libs\ConsoleAppAids\TestStand</v>
      </c>
    </row>
    <row r="185" spans="1:10" x14ac:dyDescent="0.25">
      <c r="A185" s="10" t="s">
        <v>45</v>
      </c>
      <c r="B185" s="10" t="str">
        <f>[1]!GetFolder(A185)</f>
        <v>C:\Documents and Settings\DAG\My Documents\Visual Studio 2010\Projects\WizardWrx_Libs\ConsoleAppAids\TestStand</v>
      </c>
      <c r="C185" s="10" t="str">
        <f>IF(LEN(B185)&gt;LEN(Visual_Studio_Source_Code),RIGHT(B185,LEN(B185)-LEN([1]!AddBackslash(Visual_Studio_Source_Code))),B185)</f>
        <v>WizardWrx_Libs\ConsoleAppAids\TestStand</v>
      </c>
      <c r="D185" s="10" t="str">
        <f>[1]!GetFile(A185)</f>
        <v>Program.cs</v>
      </c>
      <c r="E185" s="13">
        <v>1508</v>
      </c>
      <c r="F185" s="13" t="b">
        <f t="shared" si="5"/>
        <v>1</v>
      </c>
      <c r="G185" s="13"/>
      <c r="H185" s="13"/>
      <c r="I185" s="11" t="s">
        <v>298</v>
      </c>
      <c r="J185" s="16" t="str">
        <f t="shared" si="4"/>
        <v>WizardWrx_Libs\ConsoleAppAids\TestStand</v>
      </c>
    </row>
    <row r="186" spans="1:10" x14ac:dyDescent="0.25">
      <c r="A186" s="10" t="s">
        <v>45</v>
      </c>
      <c r="B186" s="10" t="str">
        <f>[1]!GetFolder(A186)</f>
        <v>C:\Documents and Settings\DAG\My Documents\Visual Studio 2010\Projects\WizardWrx_Libs\ConsoleAppAids\TestStand</v>
      </c>
      <c r="C186" s="10" t="str">
        <f>IF(LEN(B186)&gt;LEN(Visual_Studio_Source_Code),RIGHT(B186,LEN(B186)-LEN([1]!AddBackslash(Visual_Studio_Source_Code))),B186)</f>
        <v>WizardWrx_Libs\ConsoleAppAids\TestStand</v>
      </c>
      <c r="D186" s="10" t="str">
        <f>[1]!GetFile(A186)</f>
        <v>Program.cs</v>
      </c>
      <c r="E186" s="13">
        <v>1509</v>
      </c>
      <c r="F186" s="13" t="b">
        <f t="shared" si="5"/>
        <v>1</v>
      </c>
      <c r="G186" s="13"/>
      <c r="H186" s="13"/>
      <c r="I186" s="11" t="s">
        <v>299</v>
      </c>
      <c r="J186" s="16" t="str">
        <f t="shared" si="4"/>
        <v>WizardWrx_Libs\ConsoleAppAids\TestStand</v>
      </c>
    </row>
    <row r="187" spans="1:10" x14ac:dyDescent="0.25">
      <c r="A187" s="10" t="s">
        <v>45</v>
      </c>
      <c r="B187" s="10" t="str">
        <f>[1]!GetFolder(A187)</f>
        <v>C:\Documents and Settings\DAG\My Documents\Visual Studio 2010\Projects\WizardWrx_Libs\ConsoleAppAids\TestStand</v>
      </c>
      <c r="C187" s="10" t="str">
        <f>IF(LEN(B187)&gt;LEN(Visual_Studio_Source_Code),RIGHT(B187,LEN(B187)-LEN([1]!AddBackslash(Visual_Studio_Source_Code))),B187)</f>
        <v>WizardWrx_Libs\ConsoleAppAids\TestStand</v>
      </c>
      <c r="D187" s="10" t="str">
        <f>[1]!GetFile(A187)</f>
        <v>Program.cs</v>
      </c>
      <c r="E187" s="13">
        <v>1552</v>
      </c>
      <c r="F187" s="13" t="b">
        <f t="shared" si="5"/>
        <v>1</v>
      </c>
      <c r="G187" s="13"/>
      <c r="H187" s="13"/>
      <c r="I187" s="11" t="s">
        <v>300</v>
      </c>
      <c r="J187" s="16" t="str">
        <f t="shared" si="4"/>
        <v>WizardWrx_Libs\ConsoleAppAids\TestStand</v>
      </c>
    </row>
    <row r="188" spans="1:10" x14ac:dyDescent="0.25">
      <c r="A188" s="10" t="s">
        <v>45</v>
      </c>
      <c r="B188" s="10" t="str">
        <f>[1]!GetFolder(A188)</f>
        <v>C:\Documents and Settings\DAG\My Documents\Visual Studio 2010\Projects\WizardWrx_Libs\ConsoleAppAids\TestStand</v>
      </c>
      <c r="C188" s="10" t="str">
        <f>IF(LEN(B188)&gt;LEN(Visual_Studio_Source_Code),RIGHT(B188,LEN(B188)-LEN([1]!AddBackslash(Visual_Studio_Source_Code))),B188)</f>
        <v>WizardWrx_Libs\ConsoleAppAids\TestStand</v>
      </c>
      <c r="D188" s="10" t="str">
        <f>[1]!GetFile(A188)</f>
        <v>Program.cs</v>
      </c>
      <c r="E188" s="13">
        <v>1558</v>
      </c>
      <c r="F188" s="13" t="b">
        <f t="shared" si="5"/>
        <v>1</v>
      </c>
      <c r="G188" s="13"/>
      <c r="H188" s="13"/>
      <c r="I188" s="11" t="s">
        <v>300</v>
      </c>
      <c r="J188" s="16" t="str">
        <f t="shared" si="4"/>
        <v>WizardWrx_Libs\ConsoleAppAids\TestStand</v>
      </c>
    </row>
    <row r="189" spans="1:10" x14ac:dyDescent="0.25">
      <c r="A189" s="10" t="s">
        <v>45</v>
      </c>
      <c r="B189" s="10" t="str">
        <f>[1]!GetFolder(A189)</f>
        <v>C:\Documents and Settings\DAG\My Documents\Visual Studio 2010\Projects\WizardWrx_Libs\ConsoleAppAids\TestStand</v>
      </c>
      <c r="C189" s="10" t="str">
        <f>IF(LEN(B189)&gt;LEN(Visual_Studio_Source_Code),RIGHT(B189,LEN(B189)-LEN([1]!AddBackslash(Visual_Studio_Source_Code))),B189)</f>
        <v>WizardWrx_Libs\ConsoleAppAids\TestStand</v>
      </c>
      <c r="D189" s="10" t="str">
        <f>[1]!GetFile(A189)</f>
        <v>Program.cs</v>
      </c>
      <c r="E189" s="13">
        <v>1603</v>
      </c>
      <c r="F189" s="13" t="b">
        <f t="shared" si="5"/>
        <v>1</v>
      </c>
      <c r="G189" s="13"/>
      <c r="H189" s="13"/>
      <c r="I189" s="11" t="s">
        <v>162</v>
      </c>
      <c r="J189" s="16" t="str">
        <f t="shared" si="4"/>
        <v>WizardWrx_Libs\ConsoleAppAids\TestStand</v>
      </c>
    </row>
    <row r="190" spans="1:10" x14ac:dyDescent="0.25">
      <c r="A190" s="10" t="s">
        <v>45</v>
      </c>
      <c r="B190" s="10" t="str">
        <f>[1]!GetFolder(A190)</f>
        <v>C:\Documents and Settings\DAG\My Documents\Visual Studio 2010\Projects\WizardWrx_Libs\ConsoleAppAids\TestStand</v>
      </c>
      <c r="C190" s="10" t="str">
        <f>IF(LEN(B190)&gt;LEN(Visual_Studio_Source_Code),RIGHT(B190,LEN(B190)-LEN([1]!AddBackslash(Visual_Studio_Source_Code))),B190)</f>
        <v>WizardWrx_Libs\ConsoleAppAids\TestStand</v>
      </c>
      <c r="D190" s="10" t="str">
        <f>[1]!GetFile(A190)</f>
        <v>Program.cs</v>
      </c>
      <c r="E190" s="13">
        <v>1609</v>
      </c>
      <c r="F190" s="13" t="b">
        <f t="shared" si="5"/>
        <v>1</v>
      </c>
      <c r="G190" s="13"/>
      <c r="H190" s="13"/>
      <c r="I190" s="11" t="s">
        <v>162</v>
      </c>
      <c r="J190" s="16" t="str">
        <f t="shared" si="4"/>
        <v>WizardWrx_Libs\ConsoleAppAids\TestStand</v>
      </c>
    </row>
    <row r="191" spans="1:10" x14ac:dyDescent="0.25">
      <c r="A191" s="10" t="s">
        <v>45</v>
      </c>
      <c r="B191" s="10" t="str">
        <f>[1]!GetFolder(A191)</f>
        <v>C:\Documents and Settings\DAG\My Documents\Visual Studio 2010\Projects\WizardWrx_Libs\ConsoleAppAids\TestStand</v>
      </c>
      <c r="C191" s="10" t="str">
        <f>IF(LEN(B191)&gt;LEN(Visual_Studio_Source_Code),RIGHT(B191,LEN(B191)-LEN([1]!AddBackslash(Visual_Studio_Source_Code))),B191)</f>
        <v>WizardWrx_Libs\ConsoleAppAids\TestStand</v>
      </c>
      <c r="D191" s="10" t="str">
        <f>[1]!GetFile(A191)</f>
        <v>Program.cs</v>
      </c>
      <c r="E191" s="13">
        <v>1615</v>
      </c>
      <c r="F191" s="13" t="b">
        <f t="shared" si="5"/>
        <v>1</v>
      </c>
      <c r="G191" s="13"/>
      <c r="H191" s="13"/>
      <c r="I191" s="11" t="s">
        <v>301</v>
      </c>
      <c r="J191" s="16" t="str">
        <f t="shared" si="4"/>
        <v>WizardWrx_Libs\ConsoleAppAids\TestStand</v>
      </c>
    </row>
    <row r="192" spans="1:10" x14ac:dyDescent="0.25">
      <c r="A192" s="10" t="s">
        <v>45</v>
      </c>
      <c r="B192" s="10" t="str">
        <f>[1]!GetFolder(A192)</f>
        <v>C:\Documents and Settings\DAG\My Documents\Visual Studio 2010\Projects\WizardWrx_Libs\ConsoleAppAids\TestStand</v>
      </c>
      <c r="C192" s="10" t="str">
        <f>IF(LEN(B192)&gt;LEN(Visual_Studio_Source_Code),RIGHT(B192,LEN(B192)-LEN([1]!AddBackslash(Visual_Studio_Source_Code))),B192)</f>
        <v>WizardWrx_Libs\ConsoleAppAids\TestStand</v>
      </c>
      <c r="D192" s="10" t="str">
        <f>[1]!GetFile(A192)</f>
        <v>Program.cs</v>
      </c>
      <c r="E192" s="13">
        <v>2032</v>
      </c>
      <c r="F192" s="13" t="b">
        <f t="shared" si="5"/>
        <v>1</v>
      </c>
      <c r="G192" s="13"/>
      <c r="H192" s="13"/>
      <c r="I192" s="11" t="s">
        <v>302</v>
      </c>
      <c r="J192" s="16" t="str">
        <f t="shared" si="4"/>
        <v>WizardWrx_Libs\ConsoleAppAids\TestStand</v>
      </c>
    </row>
    <row r="193" spans="1:10" x14ac:dyDescent="0.25">
      <c r="A193" s="10" t="s">
        <v>45</v>
      </c>
      <c r="B193" s="10" t="str">
        <f>[1]!GetFolder(A193)</f>
        <v>C:\Documents and Settings\DAG\My Documents\Visual Studio 2010\Projects\WizardWrx_Libs\ConsoleAppAids\TestStand</v>
      </c>
      <c r="C193" s="10" t="str">
        <f>IF(LEN(B193)&gt;LEN(Visual_Studio_Source_Code),RIGHT(B193,LEN(B193)-LEN([1]!AddBackslash(Visual_Studio_Source_Code))),B193)</f>
        <v>WizardWrx_Libs\ConsoleAppAids\TestStand</v>
      </c>
      <c r="D193" s="10" t="str">
        <f>[1]!GetFile(A193)</f>
        <v>Program.cs</v>
      </c>
      <c r="E193" s="13">
        <v>2035</v>
      </c>
      <c r="F193" s="13" t="b">
        <f t="shared" si="5"/>
        <v>1</v>
      </c>
      <c r="G193" s="13"/>
      <c r="H193" s="13"/>
      <c r="I193" s="11" t="s">
        <v>303</v>
      </c>
      <c r="J193" s="16" t="str">
        <f t="shared" si="4"/>
        <v>WizardWrx_Libs\ConsoleAppAids\TestStand</v>
      </c>
    </row>
    <row r="194" spans="1:10" x14ac:dyDescent="0.25">
      <c r="A194" s="10" t="s">
        <v>45</v>
      </c>
      <c r="B194" s="10" t="str">
        <f>[1]!GetFolder(A194)</f>
        <v>C:\Documents and Settings\DAG\My Documents\Visual Studio 2010\Projects\WizardWrx_Libs\ConsoleAppAids\TestStand</v>
      </c>
      <c r="C194" s="10" t="str">
        <f>IF(LEN(B194)&gt;LEN(Visual_Studio_Source_Code),RIGHT(B194,LEN(B194)-LEN([1]!AddBackslash(Visual_Studio_Source_Code))),B194)</f>
        <v>WizardWrx_Libs\ConsoleAppAids\TestStand</v>
      </c>
      <c r="D194" s="10" t="str">
        <f>[1]!GetFile(A194)</f>
        <v>Program.cs</v>
      </c>
      <c r="E194" s="13">
        <v>2038</v>
      </c>
      <c r="F194" s="13" t="b">
        <f t="shared" si="5"/>
        <v>1</v>
      </c>
      <c r="G194" s="13"/>
      <c r="H194" s="13"/>
      <c r="I194" s="11" t="s">
        <v>304</v>
      </c>
      <c r="J194" s="16" t="str">
        <f t="shared" ref="J194:J204" si="6">C194</f>
        <v>WizardWrx_Libs\ConsoleAppAids\TestStand</v>
      </c>
    </row>
    <row r="195" spans="1:10" x14ac:dyDescent="0.25">
      <c r="A195" s="10" t="s">
        <v>45</v>
      </c>
      <c r="B195" s="10" t="str">
        <f>[1]!GetFolder(A195)</f>
        <v>C:\Documents and Settings\DAG\My Documents\Visual Studio 2010\Projects\WizardWrx_Libs\ConsoleAppAids\TestStand</v>
      </c>
      <c r="C195" s="10" t="str">
        <f>IF(LEN(B195)&gt;LEN(Visual_Studio_Source_Code),RIGHT(B195,LEN(B195)-LEN([1]!AddBackslash(Visual_Studio_Source_Code))),B195)</f>
        <v>WizardWrx_Libs\ConsoleAppAids\TestStand</v>
      </c>
      <c r="D195" s="10" t="str">
        <f>[1]!GetFile(A195)</f>
        <v>Program.cs</v>
      </c>
      <c r="E195" s="13">
        <v>2047</v>
      </c>
      <c r="F195" s="13" t="b">
        <f t="shared" si="5"/>
        <v>1</v>
      </c>
      <c r="G195" s="13"/>
      <c r="H195" s="13"/>
      <c r="I195" s="11" t="s">
        <v>305</v>
      </c>
      <c r="J195" s="16" t="str">
        <f t="shared" si="6"/>
        <v>WizardWrx_Libs\ConsoleAppAids\TestStand</v>
      </c>
    </row>
    <row r="196" spans="1:10" x14ac:dyDescent="0.25">
      <c r="A196" s="10" t="s">
        <v>306</v>
      </c>
      <c r="B196" s="10" t="str">
        <f>[1]!GetFolder(A196)</f>
        <v>C:\Documents and Settings\DAG\My Documents\Visual Studio 2010\Projects\WizardWrx_Libs\DLLServices\AssemblyWithCfgFile</v>
      </c>
      <c r="C196" s="10" t="str">
        <f>IF(LEN(B196)&gt;LEN(Visual_Studio_Source_Code),RIGHT(B196,LEN(B196)-LEN([1]!AddBackslash(Visual_Studio_Source_Code))),B196)</f>
        <v>WizardWrx_Libs\DLLServices\AssemblyWithCfgFile</v>
      </c>
      <c r="D196" s="10" t="str">
        <f>[1]!GetFile(A196)</f>
        <v>AssemblyLocatorDemo.cs</v>
      </c>
      <c r="E196" s="13">
        <v>170</v>
      </c>
      <c r="F196" s="13" t="b">
        <f t="shared" ref="F196:F204" si="7">NOT(ISERROR(FIND("ExceptionLogger",I196)))</f>
        <v>1</v>
      </c>
      <c r="G196" s="13"/>
      <c r="H196" s="13"/>
      <c r="I196" s="11" t="s">
        <v>307</v>
      </c>
      <c r="J196" s="16" t="str">
        <f t="shared" si="6"/>
        <v>WizardWrx_Libs\DLLServices\AssemblyWithCfgFile</v>
      </c>
    </row>
    <row r="197" spans="1:10" x14ac:dyDescent="0.25">
      <c r="A197" s="10" t="s">
        <v>308</v>
      </c>
      <c r="B197" s="10" t="str">
        <f>[1]!GetFolder(A197)</f>
        <v>C:\Documents and Settings\DAG\My Documents\Visual Studio 2010\Projects\WizardWrx_Libs\DLLServices\DLLServicesTestStand</v>
      </c>
      <c r="C197" s="10" t="str">
        <f>IF(LEN(B197)&gt;LEN(Visual_Studio_Source_Code),RIGHT(B197,LEN(B197)-LEN([1]!AddBackslash(Visual_Studio_Source_Code))),B197)</f>
        <v>WizardWrx_Libs\DLLServices\DLLServicesTestStand</v>
      </c>
      <c r="D197" s="10" t="str">
        <f>[1]!GetFile(A197)</f>
        <v>GACAssemblyLocatorTest.cs</v>
      </c>
      <c r="E197" s="13">
        <v>121</v>
      </c>
      <c r="F197" s="13" t="b">
        <f t="shared" si="7"/>
        <v>1</v>
      </c>
      <c r="G197" s="13"/>
      <c r="H197" s="13"/>
      <c r="I197" s="11" t="s">
        <v>175</v>
      </c>
      <c r="J197" s="16" t="str">
        <f t="shared" si="6"/>
        <v>WizardWrx_Libs\DLLServices\DLLServicesTestStand</v>
      </c>
    </row>
    <row r="198" spans="1:10" x14ac:dyDescent="0.25">
      <c r="A198" s="10" t="s">
        <v>309</v>
      </c>
      <c r="B198" s="10" t="str">
        <f>[1]!GetFolder(A198)</f>
        <v>C:\Documents and Settings\DAG\My Documents\Visual Studio 2010\Projects\WizardWrx_Libs\SharedUtl4\SharedUtl4_TestStand</v>
      </c>
      <c r="C198" s="10" t="str">
        <f>IF(LEN(B198)&gt;LEN(Visual_Studio_Source_Code),RIGHT(B198,LEN(B198)-LEN([1]!AddBackslash(Visual_Studio_Source_Code))),B198)</f>
        <v>WizardWrx_Libs\SharedUtl4\SharedUtl4_TestStand</v>
      </c>
      <c r="D198" s="10" t="str">
        <f>[1]!GetFile(A198)</f>
        <v>Program.cs</v>
      </c>
      <c r="E198" s="13">
        <v>71</v>
      </c>
      <c r="F198" s="13" t="b">
        <f t="shared" si="7"/>
        <v>1</v>
      </c>
      <c r="G198" s="13"/>
      <c r="H198" s="13"/>
      <c r="I198" s="11" t="s">
        <v>310</v>
      </c>
      <c r="J198" s="16" t="str">
        <f t="shared" si="6"/>
        <v>WizardWrx_Libs\SharedUtl4\SharedUtl4_TestStand</v>
      </c>
    </row>
    <row r="199" spans="1:10" x14ac:dyDescent="0.25">
      <c r="A199" s="10" t="s">
        <v>311</v>
      </c>
      <c r="B199" s="10" t="str">
        <f>[1]!GetFolder(A199)</f>
        <v>C:\Documents and Settings\DAG\My Documents\Visual Studio 2010\Projects\WizardWrx_Libs\ShellPopUp\ShellPopUpTestStand\ConstantsExplorer</v>
      </c>
      <c r="C199" s="10" t="str">
        <f>IF(LEN(B199)&gt;LEN(Visual_Studio_Source_Code),RIGHT(B199,LEN(B199)-LEN([1]!AddBackslash(Visual_Studio_Source_Code))),B199)</f>
        <v>WizardWrx_Libs\ShellPopUp\ShellPopUpTestStand\ConstantsExplorer</v>
      </c>
      <c r="D199" s="10" t="str">
        <f>[1]!GetFile(A199)</f>
        <v>Program.cs</v>
      </c>
      <c r="E199" s="13">
        <v>22</v>
      </c>
      <c r="F199" s="13" t="b">
        <f t="shared" si="7"/>
        <v>1</v>
      </c>
      <c r="G199" s="13"/>
      <c r="H199" s="13"/>
      <c r="I199" s="11" t="s">
        <v>153</v>
      </c>
      <c r="J199" s="16" t="str">
        <f t="shared" si="6"/>
        <v>WizardWrx_Libs\ShellPopUp\ShellPopUpTestStand\ConstantsExplorer</v>
      </c>
    </row>
    <row r="200" spans="1:10" x14ac:dyDescent="0.25">
      <c r="A200" s="10" t="s">
        <v>311</v>
      </c>
      <c r="B200" s="10" t="str">
        <f>[1]!GetFolder(A200)</f>
        <v>C:\Documents and Settings\DAG\My Documents\Visual Studio 2010\Projects\WizardWrx_Libs\ShellPopUp\ShellPopUpTestStand\ConstantsExplorer</v>
      </c>
      <c r="C200" s="10" t="str">
        <f>IF(LEN(B200)&gt;LEN(Visual_Studio_Source_Code),RIGHT(B200,LEN(B200)-LEN([1]!AddBackslash(Visual_Studio_Source_Code))),B200)</f>
        <v>WizardWrx_Libs\ShellPopUp\ShellPopUpTestStand\ConstantsExplorer</v>
      </c>
      <c r="D200" s="10" t="str">
        <f>[1]!GetFile(A200)</f>
        <v>Program.cs</v>
      </c>
      <c r="E200" s="13">
        <v>23</v>
      </c>
      <c r="F200" s="13" t="b">
        <f t="shared" si="7"/>
        <v>1</v>
      </c>
      <c r="G200" s="13"/>
      <c r="H200" s="13"/>
      <c r="I200" s="11" t="s">
        <v>312</v>
      </c>
      <c r="J200" s="16" t="str">
        <f t="shared" si="6"/>
        <v>WizardWrx_Libs\ShellPopUp\ShellPopUpTestStand\ConstantsExplorer</v>
      </c>
    </row>
    <row r="201" spans="1:10" x14ac:dyDescent="0.25">
      <c r="A201" s="10" t="s">
        <v>313</v>
      </c>
      <c r="B201" s="10" t="str">
        <f>[1]!GetFolder(A201)</f>
        <v>C:\Documents and Settings\DAG\My Documents\Visual Studio 2010\Projects\_Laboratory\ConsoleColorsDemo\ConsoleColorsDemo</v>
      </c>
      <c r="C201" s="10" t="str">
        <f>IF(LEN(B201)&gt;LEN(Visual_Studio_Source_Code),RIGHT(B201,LEN(B201)-LEN([1]!AddBackslash(Visual_Studio_Source_Code))),B201)</f>
        <v>_Laboratory\ConsoleColorsDemo\ConsoleColorsDemo</v>
      </c>
      <c r="D201" s="10" t="str">
        <f>[1]!GetFile(A201)</f>
        <v>Program.cs</v>
      </c>
      <c r="E201" s="13">
        <v>108</v>
      </c>
      <c r="F201" s="13" t="b">
        <f t="shared" si="7"/>
        <v>1</v>
      </c>
      <c r="G201" s="13"/>
      <c r="H201" s="13"/>
      <c r="I201" s="11" t="s">
        <v>164</v>
      </c>
      <c r="J201" s="16" t="str">
        <f t="shared" si="6"/>
        <v>_Laboratory\ConsoleColorsDemo\ConsoleColorsDemo</v>
      </c>
    </row>
    <row r="202" spans="1:10" x14ac:dyDescent="0.25">
      <c r="A202" s="10" t="s">
        <v>313</v>
      </c>
      <c r="B202" s="10" t="str">
        <f>[1]!GetFolder(A202)</f>
        <v>C:\Documents and Settings\DAG\My Documents\Visual Studio 2010\Projects\_Laboratory\ConsoleColorsDemo\ConsoleColorsDemo</v>
      </c>
      <c r="C202" s="10" t="str">
        <f>IF(LEN(B202)&gt;LEN(Visual_Studio_Source_Code),RIGHT(B202,LEN(B202)-LEN([1]!AddBackslash(Visual_Studio_Source_Code))),B202)</f>
        <v>_Laboratory\ConsoleColorsDemo\ConsoleColorsDemo</v>
      </c>
      <c r="D202" s="10" t="str">
        <f>[1]!GetFile(A202)</f>
        <v>Program.cs</v>
      </c>
      <c r="E202" s="13">
        <v>109</v>
      </c>
      <c r="F202" s="13" t="b">
        <f t="shared" si="7"/>
        <v>1</v>
      </c>
      <c r="G202" s="13"/>
      <c r="H202" s="13"/>
      <c r="I202" s="11" t="s">
        <v>165</v>
      </c>
      <c r="J202" s="16" t="str">
        <f t="shared" si="6"/>
        <v>_Laboratory\ConsoleColorsDemo\ConsoleColorsDemo</v>
      </c>
    </row>
    <row r="203" spans="1:10" x14ac:dyDescent="0.25">
      <c r="A203" s="10" t="s">
        <v>313</v>
      </c>
      <c r="B203" s="10" t="str">
        <f>[1]!GetFolder(A203)</f>
        <v>C:\Documents and Settings\DAG\My Documents\Visual Studio 2010\Projects\_Laboratory\ConsoleColorsDemo\ConsoleColorsDemo</v>
      </c>
      <c r="C203" s="10" t="str">
        <f>IF(LEN(B203)&gt;LEN(Visual_Studio_Source_Code),RIGHT(B203,LEN(B203)-LEN([1]!AddBackslash(Visual_Studio_Source_Code))),B203)</f>
        <v>_Laboratory\ConsoleColorsDemo\ConsoleColorsDemo</v>
      </c>
      <c r="D203" s="10" t="str">
        <f>[1]!GetFile(A203)</f>
        <v>Program.cs</v>
      </c>
      <c r="E203" s="13">
        <v>184</v>
      </c>
      <c r="F203" s="13" t="b">
        <f t="shared" si="7"/>
        <v>1</v>
      </c>
      <c r="G203" s="13"/>
      <c r="H203" s="13"/>
      <c r="I203" s="11" t="s">
        <v>162</v>
      </c>
      <c r="J203" s="16" t="str">
        <f t="shared" si="6"/>
        <v>_Laboratory\ConsoleColorsDemo\ConsoleColorsDemo</v>
      </c>
    </row>
    <row r="204" spans="1:10" x14ac:dyDescent="0.25">
      <c r="A204" s="10" t="s">
        <v>313</v>
      </c>
      <c r="B204" s="10" t="str">
        <f>[1]!GetFolder(A204)</f>
        <v>C:\Documents and Settings\DAG\My Documents\Visual Studio 2010\Projects\_Laboratory\ConsoleColorsDemo\ConsoleColorsDemo</v>
      </c>
      <c r="C204" s="10" t="str">
        <f>IF(LEN(B204)&gt;LEN(Visual_Studio_Source_Code),RIGHT(B204,LEN(B204)-LEN([1]!AddBackslash(Visual_Studio_Source_Code))),B204)</f>
        <v>_Laboratory\ConsoleColorsDemo\ConsoleColorsDemo</v>
      </c>
      <c r="D204" s="10" t="str">
        <f>[1]!GetFile(A204)</f>
        <v>Program.cs</v>
      </c>
      <c r="E204" s="13">
        <v>275</v>
      </c>
      <c r="F204" s="13" t="b">
        <f t="shared" si="7"/>
        <v>1</v>
      </c>
      <c r="G204" s="13" t="s">
        <v>315</v>
      </c>
      <c r="H204" s="13" t="s">
        <v>314</v>
      </c>
      <c r="I204" s="11" t="s">
        <v>162</v>
      </c>
      <c r="J204" s="16" t="str">
        <f t="shared" si="6"/>
        <v>_Laboratory\ConsoleColorsDemo\ConsoleColorsDemo</v>
      </c>
    </row>
  </sheetData>
  <conditionalFormatting sqref="A2:J2">
    <cfRule type="expression" dxfId="25" priority="3">
      <formula>OR($G2=TRUE,$H2=TRUE)</formula>
    </cfRule>
    <cfRule type="expression" dxfId="24" priority="4">
      <formula>$F2=TRUE</formula>
    </cfRule>
    <cfRule type="expression" dxfId="23" priority="7">
      <formula>OR($G2=TRUE,$H2=TRUE)</formula>
    </cfRule>
    <cfRule type="expression" dxfId="22" priority="10">
      <formula>FIND(" ThreadSafeExceptionReporting",$I2)</formula>
    </cfRule>
  </conditionalFormatting>
  <conditionalFormatting sqref="A3:J3">
    <cfRule type="expression" dxfId="21" priority="8">
      <formula>OR($G3=TRUE,$H3=TRUE)</formula>
    </cfRule>
    <cfRule type="expression" dxfId="20" priority="9">
      <formula>$F3=TRUE</formula>
    </cfRule>
  </conditionalFormatting>
  <conditionalFormatting sqref="A4:J204">
    <cfRule type="expression" dxfId="19" priority="1">
      <formula>OR($G4=TRUE,$H4=TRUE)</formula>
    </cfRule>
    <cfRule type="expression" dxfId="18" priority="2">
      <formula>$F4=TRUE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05"/>
  <sheetViews>
    <sheetView workbookViewId="0">
      <selection activeCell="A2" sqref="A2"/>
    </sheetView>
  </sheetViews>
  <sheetFormatPr defaultRowHeight="15" x14ac:dyDescent="0.25"/>
  <cols>
    <col min="1" max="1" width="81" bestFit="1" customWidth="1"/>
    <col min="2" max="3" width="81" customWidth="1"/>
    <col min="4" max="4" width="32.5" bestFit="1" customWidth="1"/>
    <col min="5" max="5" width="4.875" bestFit="1" customWidth="1"/>
    <col min="6" max="6" width="12.75" bestFit="1" customWidth="1"/>
    <col min="7" max="7" width="9.625" bestFit="1" customWidth="1"/>
    <col min="8" max="8" width="6.625" bestFit="1" customWidth="1"/>
    <col min="9" max="9" width="93.375" bestFit="1" customWidth="1"/>
    <col min="10" max="10" width="57.25" customWidth="1"/>
  </cols>
  <sheetData>
    <row r="1" spans="1:10" ht="15.75" x14ac:dyDescent="0.25">
      <c r="A1" s="6" t="s">
        <v>9</v>
      </c>
      <c r="B1" s="6" t="s">
        <v>81</v>
      </c>
      <c r="C1" s="6" t="s">
        <v>84</v>
      </c>
      <c r="D1" s="6" t="s">
        <v>85</v>
      </c>
      <c r="E1" s="6" t="s">
        <v>10</v>
      </c>
      <c r="F1" s="6" t="s">
        <v>142</v>
      </c>
      <c r="G1" s="6" t="s">
        <v>143</v>
      </c>
      <c r="H1" s="6" t="s">
        <v>144</v>
      </c>
      <c r="I1" s="7" t="s">
        <v>11</v>
      </c>
      <c r="J1" s="14" t="s">
        <v>145</v>
      </c>
    </row>
    <row r="2" spans="1:10" x14ac:dyDescent="0.25">
      <c r="A2" s="8" t="s">
        <v>12</v>
      </c>
      <c r="B2" s="8" t="s">
        <v>86</v>
      </c>
      <c r="C2" s="8" t="s">
        <v>87</v>
      </c>
      <c r="D2" s="8" t="s">
        <v>88</v>
      </c>
      <c r="E2" s="12">
        <v>218</v>
      </c>
      <c r="F2" s="12" t="b">
        <f t="shared" ref="F2:F33" si="0">NOT(ISERROR(FIND(" ExceptionReporting",I2)))</f>
        <v>0</v>
      </c>
      <c r="G2" s="12"/>
      <c r="H2" s="12"/>
      <c r="I2" s="9" t="s">
        <v>13</v>
      </c>
      <c r="J2" s="15" t="str">
        <f>C2</f>
        <v>Console_Apps\EZSMTPMM\EZSMTPMM</v>
      </c>
    </row>
    <row r="3" spans="1:10" x14ac:dyDescent="0.25">
      <c r="A3" s="10" t="s">
        <v>12</v>
      </c>
      <c r="B3" s="10" t="s">
        <v>86</v>
      </c>
      <c r="C3" s="10" t="s">
        <v>87</v>
      </c>
      <c r="D3" s="10" t="s">
        <v>88</v>
      </c>
      <c r="E3" s="13">
        <v>354</v>
      </c>
      <c r="F3" s="13" t="b">
        <f t="shared" si="0"/>
        <v>0</v>
      </c>
      <c r="G3" s="13"/>
      <c r="H3" s="13"/>
      <c r="I3" s="11" t="s">
        <v>13</v>
      </c>
      <c r="J3" s="16" t="str">
        <f>C3</f>
        <v>Console_Apps\EZSMTPMM\EZSMTPMM</v>
      </c>
    </row>
    <row r="4" spans="1:10" x14ac:dyDescent="0.25">
      <c r="A4" s="10" t="s">
        <v>14</v>
      </c>
      <c r="B4" s="10" t="s">
        <v>86</v>
      </c>
      <c r="C4" s="10" t="s">
        <v>87</v>
      </c>
      <c r="D4" s="10" t="s">
        <v>89</v>
      </c>
      <c r="E4" s="13">
        <v>91</v>
      </c>
      <c r="F4" s="13" t="b">
        <f t="shared" si="0"/>
        <v>0</v>
      </c>
      <c r="G4" s="13"/>
      <c r="H4" s="13"/>
      <c r="I4" s="11" t="s">
        <v>13</v>
      </c>
      <c r="J4" s="17" t="str">
        <f t="shared" ref="J4:J67" si="1">C4</f>
        <v>Console_Apps\EZSMTPMM\EZSMTPMM</v>
      </c>
    </row>
    <row r="5" spans="1:10" x14ac:dyDescent="0.25">
      <c r="A5" s="10" t="s">
        <v>14</v>
      </c>
      <c r="B5" s="10" t="s">
        <v>86</v>
      </c>
      <c r="C5" s="10" t="s">
        <v>87</v>
      </c>
      <c r="D5" s="10" t="s">
        <v>89</v>
      </c>
      <c r="E5" s="13">
        <v>168</v>
      </c>
      <c r="F5" s="13" t="b">
        <f t="shared" si="0"/>
        <v>0</v>
      </c>
      <c r="G5" s="13"/>
      <c r="H5" s="13"/>
      <c r="I5" s="11" t="s">
        <v>15</v>
      </c>
      <c r="J5" s="17" t="str">
        <f t="shared" si="1"/>
        <v>Console_Apps\EZSMTPMM\EZSMTPMM</v>
      </c>
    </row>
    <row r="6" spans="1:10" x14ac:dyDescent="0.25">
      <c r="A6" s="10" t="s">
        <v>16</v>
      </c>
      <c r="B6" s="10" t="s">
        <v>90</v>
      </c>
      <c r="C6" s="10" t="s">
        <v>91</v>
      </c>
      <c r="D6" s="10" t="s">
        <v>89</v>
      </c>
      <c r="E6" s="13">
        <v>151</v>
      </c>
      <c r="F6" s="13" t="b">
        <f t="shared" si="0"/>
        <v>0</v>
      </c>
      <c r="G6" s="13"/>
      <c r="H6" s="13"/>
      <c r="I6" s="11" t="s">
        <v>17</v>
      </c>
      <c r="J6" s="17" t="str">
        <f t="shared" si="1"/>
        <v>Console_Apps\MultiCat\MultiCat</v>
      </c>
    </row>
    <row r="7" spans="1:10" x14ac:dyDescent="0.25">
      <c r="A7" s="10" t="s">
        <v>16</v>
      </c>
      <c r="B7" s="10" t="s">
        <v>90</v>
      </c>
      <c r="C7" s="10" t="s">
        <v>91</v>
      </c>
      <c r="D7" s="10" t="s">
        <v>89</v>
      </c>
      <c r="E7" s="13">
        <v>216</v>
      </c>
      <c r="F7" s="13" t="b">
        <f t="shared" si="0"/>
        <v>0</v>
      </c>
      <c r="G7" s="13"/>
      <c r="H7" s="13"/>
      <c r="I7" s="11" t="s">
        <v>17</v>
      </c>
      <c r="J7" s="17" t="str">
        <f t="shared" si="1"/>
        <v>Console_Apps\MultiCat\MultiCat</v>
      </c>
    </row>
    <row r="8" spans="1:10" x14ac:dyDescent="0.25">
      <c r="A8" s="10" t="s">
        <v>16</v>
      </c>
      <c r="B8" s="10" t="s">
        <v>90</v>
      </c>
      <c r="C8" s="10" t="s">
        <v>91</v>
      </c>
      <c r="D8" s="10" t="s">
        <v>89</v>
      </c>
      <c r="E8" s="13">
        <v>320</v>
      </c>
      <c r="F8" s="13" t="b">
        <f t="shared" si="0"/>
        <v>0</v>
      </c>
      <c r="G8" s="13"/>
      <c r="H8" s="13"/>
      <c r="I8" s="11" t="s">
        <v>17</v>
      </c>
      <c r="J8" s="17" t="str">
        <f t="shared" si="1"/>
        <v>Console_Apps\MultiCat\MultiCat</v>
      </c>
    </row>
    <row r="9" spans="1:10" x14ac:dyDescent="0.25">
      <c r="A9" s="10" t="s">
        <v>18</v>
      </c>
      <c r="B9" s="10" t="s">
        <v>92</v>
      </c>
      <c r="C9" s="10" t="s">
        <v>93</v>
      </c>
      <c r="D9" s="10" t="s">
        <v>89</v>
      </c>
      <c r="E9" s="13">
        <v>109</v>
      </c>
      <c r="F9" s="13" t="b">
        <f t="shared" si="0"/>
        <v>0</v>
      </c>
      <c r="G9" s="13"/>
      <c r="H9" s="13"/>
      <c r="I9" s="11" t="s">
        <v>17</v>
      </c>
      <c r="J9" s="17" t="str">
        <f t="shared" si="1"/>
        <v>Console_Apps\STAMPLOG\STAMPLOG</v>
      </c>
    </row>
    <row r="10" spans="1:10" x14ac:dyDescent="0.25">
      <c r="A10" s="10" t="s">
        <v>18</v>
      </c>
      <c r="B10" s="10" t="s">
        <v>92</v>
      </c>
      <c r="C10" s="10" t="s">
        <v>93</v>
      </c>
      <c r="D10" s="10" t="s">
        <v>89</v>
      </c>
      <c r="E10" s="13">
        <v>170</v>
      </c>
      <c r="F10" s="13" t="b">
        <f t="shared" si="0"/>
        <v>0</v>
      </c>
      <c r="G10" s="13"/>
      <c r="H10" s="13"/>
      <c r="I10" s="11" t="s">
        <v>19</v>
      </c>
      <c r="J10" s="17" t="str">
        <f t="shared" si="1"/>
        <v>Console_Apps\STAMPLOG\STAMPLOG</v>
      </c>
    </row>
    <row r="11" spans="1:10" x14ac:dyDescent="0.25">
      <c r="A11" s="10" t="s">
        <v>18</v>
      </c>
      <c r="B11" s="10" t="s">
        <v>92</v>
      </c>
      <c r="C11" s="10" t="s">
        <v>93</v>
      </c>
      <c r="D11" s="10" t="s">
        <v>89</v>
      </c>
      <c r="E11" s="13">
        <v>180</v>
      </c>
      <c r="F11" s="13" t="b">
        <f t="shared" si="0"/>
        <v>0</v>
      </c>
      <c r="G11" s="13"/>
      <c r="H11" s="13"/>
      <c r="I11" s="11" t="s">
        <v>15</v>
      </c>
      <c r="J11" s="17" t="str">
        <f t="shared" si="1"/>
        <v>Console_Apps\STAMPLOG\STAMPLOG</v>
      </c>
    </row>
    <row r="12" spans="1:10" x14ac:dyDescent="0.25">
      <c r="A12" s="10" t="s">
        <v>18</v>
      </c>
      <c r="B12" s="10" t="s">
        <v>92</v>
      </c>
      <c r="C12" s="10" t="s">
        <v>93</v>
      </c>
      <c r="D12" s="10" t="s">
        <v>89</v>
      </c>
      <c r="E12" s="13">
        <v>348</v>
      </c>
      <c r="F12" s="13" t="b">
        <f t="shared" si="0"/>
        <v>0</v>
      </c>
      <c r="G12" s="13"/>
      <c r="H12" s="13"/>
      <c r="I12" s="11" t="s">
        <v>13</v>
      </c>
      <c r="J12" s="17" t="str">
        <f t="shared" si="1"/>
        <v>Console_Apps\STAMPLOG\STAMPLOG</v>
      </c>
    </row>
    <row r="13" spans="1:10" x14ac:dyDescent="0.25">
      <c r="A13" s="10" t="s">
        <v>20</v>
      </c>
      <c r="B13" s="10" t="s">
        <v>94</v>
      </c>
      <c r="C13" s="10" t="s">
        <v>95</v>
      </c>
      <c r="D13" s="10" t="s">
        <v>89</v>
      </c>
      <c r="E13" s="13">
        <v>215</v>
      </c>
      <c r="F13" s="13" t="b">
        <f t="shared" si="0"/>
        <v>0</v>
      </c>
      <c r="G13" s="13"/>
      <c r="H13" s="13"/>
      <c r="I13" s="11" t="s">
        <v>17</v>
      </c>
      <c r="J13" s="17" t="str">
        <f t="shared" si="1"/>
        <v>Console_Apps\WWRegStrToLocalEnv\WWRegStrToLocalEnv</v>
      </c>
    </row>
    <row r="14" spans="1:10" x14ac:dyDescent="0.25">
      <c r="A14" s="10" t="s">
        <v>21</v>
      </c>
      <c r="B14" s="10" t="s">
        <v>96</v>
      </c>
      <c r="C14" s="10" t="s">
        <v>97</v>
      </c>
      <c r="D14" s="10" t="s">
        <v>89</v>
      </c>
      <c r="E14" s="13">
        <v>135</v>
      </c>
      <c r="F14" s="13" t="b">
        <f t="shared" si="0"/>
        <v>0</v>
      </c>
      <c r="G14" s="13"/>
      <c r="H14" s="13"/>
      <c r="I14" s="11" t="s">
        <v>17</v>
      </c>
      <c r="J14" s="17" t="str">
        <f t="shared" si="1"/>
        <v>NOLANB\EZXFERCloudReporter\EZXFERCloudReporter</v>
      </c>
    </row>
    <row r="15" spans="1:10" x14ac:dyDescent="0.25">
      <c r="A15" s="10" t="s">
        <v>22</v>
      </c>
      <c r="B15" s="10" t="s">
        <v>98</v>
      </c>
      <c r="C15" s="10" t="s">
        <v>99</v>
      </c>
      <c r="D15" s="10" t="s">
        <v>100</v>
      </c>
      <c r="E15" s="13">
        <v>200</v>
      </c>
      <c r="F15" s="13" t="b">
        <f t="shared" si="0"/>
        <v>0</v>
      </c>
      <c r="G15" s="13"/>
      <c r="H15" s="13"/>
      <c r="I15" s="11" t="s">
        <v>17</v>
      </c>
      <c r="J15" s="17" t="str">
        <f t="shared" si="1"/>
        <v>NOLANB\EZXFER_Cloud_Manager\EZXFER_Cloud_Manager</v>
      </c>
    </row>
    <row r="16" spans="1:10" x14ac:dyDescent="0.25">
      <c r="A16" s="10" t="s">
        <v>22</v>
      </c>
      <c r="B16" s="10" t="s">
        <v>98</v>
      </c>
      <c r="C16" s="10" t="s">
        <v>99</v>
      </c>
      <c r="D16" s="10" t="s">
        <v>100</v>
      </c>
      <c r="E16" s="13">
        <v>435</v>
      </c>
      <c r="F16" s="13" t="b">
        <f t="shared" si="0"/>
        <v>0</v>
      </c>
      <c r="G16" s="13"/>
      <c r="H16" s="13"/>
      <c r="I16" s="11" t="s">
        <v>17</v>
      </c>
      <c r="J16" s="17" t="str">
        <f t="shared" si="1"/>
        <v>NOLANB\EZXFER_Cloud_Manager\EZXFER_Cloud_Manager</v>
      </c>
    </row>
    <row r="17" spans="1:10" x14ac:dyDescent="0.25">
      <c r="A17" s="10" t="s">
        <v>23</v>
      </c>
      <c r="B17" s="10" t="s">
        <v>98</v>
      </c>
      <c r="C17" s="10" t="s">
        <v>99</v>
      </c>
      <c r="D17" s="10" t="s">
        <v>89</v>
      </c>
      <c r="E17" s="13">
        <v>150</v>
      </c>
      <c r="F17" s="13" t="b">
        <f t="shared" si="0"/>
        <v>0</v>
      </c>
      <c r="G17" s="13"/>
      <c r="H17" s="13"/>
      <c r="I17" s="11" t="s">
        <v>17</v>
      </c>
      <c r="J17" s="17" t="str">
        <f t="shared" si="1"/>
        <v>NOLANB\EZXFER_Cloud_Manager\EZXFER_Cloud_Manager</v>
      </c>
    </row>
    <row r="18" spans="1:10" x14ac:dyDescent="0.25">
      <c r="A18" s="10" t="s">
        <v>24</v>
      </c>
      <c r="B18" s="10" t="s">
        <v>101</v>
      </c>
      <c r="C18" s="10" t="s">
        <v>102</v>
      </c>
      <c r="D18" s="10" t="s">
        <v>89</v>
      </c>
      <c r="E18" s="13">
        <v>281</v>
      </c>
      <c r="F18" s="13" t="b">
        <f t="shared" si="0"/>
        <v>0</v>
      </c>
      <c r="G18" s="13"/>
      <c r="H18" s="13"/>
      <c r="I18" s="11" t="s">
        <v>25</v>
      </c>
      <c r="J18" s="17" t="str">
        <f t="shared" si="1"/>
        <v>NOLANB\NBGetRC\NBGetRC</v>
      </c>
    </row>
    <row r="19" spans="1:10" x14ac:dyDescent="0.25">
      <c r="A19" s="10" t="s">
        <v>26</v>
      </c>
      <c r="B19" s="10" t="s">
        <v>103</v>
      </c>
      <c r="C19" s="10" t="s">
        <v>104</v>
      </c>
      <c r="D19" s="10" t="s">
        <v>89</v>
      </c>
      <c r="E19" s="13">
        <v>306</v>
      </c>
      <c r="F19" s="13" t="b">
        <f t="shared" si="0"/>
        <v>1</v>
      </c>
      <c r="G19" s="13"/>
      <c r="H19" s="13"/>
      <c r="I19" s="11" t="s">
        <v>27</v>
      </c>
      <c r="J19" s="17" t="str">
        <f t="shared" si="1"/>
        <v>NOLANB\NBReplT\NBReplT</v>
      </c>
    </row>
    <row r="20" spans="1:10" x14ac:dyDescent="0.25">
      <c r="A20" s="10" t="s">
        <v>26</v>
      </c>
      <c r="B20" s="10" t="s">
        <v>103</v>
      </c>
      <c r="C20" s="10" t="s">
        <v>104</v>
      </c>
      <c r="D20" s="10" t="s">
        <v>89</v>
      </c>
      <c r="E20" s="13">
        <v>370</v>
      </c>
      <c r="F20" s="13" t="b">
        <f t="shared" si="0"/>
        <v>1</v>
      </c>
      <c r="G20" s="13"/>
      <c r="H20" s="13"/>
      <c r="I20" s="11" t="s">
        <v>28</v>
      </c>
      <c r="J20" s="17" t="str">
        <f t="shared" si="1"/>
        <v>NOLANB\NBReplT\NBReplT</v>
      </c>
    </row>
    <row r="21" spans="1:10" x14ac:dyDescent="0.25">
      <c r="A21" s="10" t="s">
        <v>29</v>
      </c>
      <c r="B21" s="10" t="s">
        <v>105</v>
      </c>
      <c r="C21" s="10" t="s">
        <v>106</v>
      </c>
      <c r="D21" s="10" t="s">
        <v>89</v>
      </c>
      <c r="E21" s="13">
        <v>167</v>
      </c>
      <c r="F21" s="13" t="b">
        <f t="shared" si="0"/>
        <v>0</v>
      </c>
      <c r="G21" s="13"/>
      <c r="H21" s="13"/>
      <c r="I21" s="11" t="s">
        <v>30</v>
      </c>
      <c r="J21" s="17" t="str">
        <f t="shared" si="1"/>
        <v>Tools_for_Programmers\AssemblyReferenceFixup\AssemblyReferenceFixup</v>
      </c>
    </row>
    <row r="22" spans="1:10" x14ac:dyDescent="0.25">
      <c r="A22" s="10" t="s">
        <v>31</v>
      </c>
      <c r="B22" s="10" t="s">
        <v>107</v>
      </c>
      <c r="C22" s="10" t="s">
        <v>108</v>
      </c>
      <c r="D22" s="10" t="s">
        <v>109</v>
      </c>
      <c r="E22" s="13">
        <v>12</v>
      </c>
      <c r="F22" s="13" t="b">
        <f t="shared" si="0"/>
        <v>0</v>
      </c>
      <c r="G22" s="13"/>
      <c r="H22" s="13"/>
      <c r="I22" s="11" t="s">
        <v>32</v>
      </c>
      <c r="J22" s="17" t="str">
        <f t="shared" si="1"/>
        <v>WizardWrx_Libs\ApplicationHelpers\ApplicationHelpers</v>
      </c>
    </row>
    <row r="23" spans="1:10" x14ac:dyDescent="0.25">
      <c r="A23" s="10" t="s">
        <v>31</v>
      </c>
      <c r="B23" s="10" t="s">
        <v>107</v>
      </c>
      <c r="C23" s="10" t="s">
        <v>108</v>
      </c>
      <c r="D23" s="10" t="s">
        <v>109</v>
      </c>
      <c r="E23" s="13">
        <v>69</v>
      </c>
      <c r="F23" s="13" t="b">
        <f t="shared" si="0"/>
        <v>0</v>
      </c>
      <c r="G23" s="13"/>
      <c r="H23" s="13"/>
      <c r="I23" s="11" t="s">
        <v>33</v>
      </c>
      <c r="J23" s="17" t="str">
        <f t="shared" si="1"/>
        <v>WizardWrx_Libs\ApplicationHelpers\ApplicationHelpers</v>
      </c>
    </row>
    <row r="24" spans="1:10" x14ac:dyDescent="0.25">
      <c r="A24" s="10" t="s">
        <v>34</v>
      </c>
      <c r="B24" s="10" t="s">
        <v>110</v>
      </c>
      <c r="C24" s="10" t="s">
        <v>111</v>
      </c>
      <c r="D24" s="10" t="s">
        <v>112</v>
      </c>
      <c r="E24" s="13">
        <v>4</v>
      </c>
      <c r="F24" s="13" t="b">
        <f t="shared" si="0"/>
        <v>1</v>
      </c>
      <c r="G24" s="13" t="b">
        <v>1</v>
      </c>
      <c r="H24" s="13"/>
      <c r="I24" s="11" t="s">
        <v>35</v>
      </c>
      <c r="J24" s="17" t="str">
        <f t="shared" si="1"/>
        <v>WizardWrx_Libs\ConsoleAppAids\ConsoleAppAids</v>
      </c>
    </row>
    <row r="25" spans="1:10" x14ac:dyDescent="0.25">
      <c r="A25" s="10" t="s">
        <v>34</v>
      </c>
      <c r="B25" s="10" t="s">
        <v>110</v>
      </c>
      <c r="C25" s="10" t="s">
        <v>111</v>
      </c>
      <c r="D25" s="10" t="s">
        <v>112</v>
      </c>
      <c r="E25" s="13">
        <v>8</v>
      </c>
      <c r="F25" s="13" t="b">
        <f t="shared" si="0"/>
        <v>1</v>
      </c>
      <c r="G25" s="13" t="b">
        <v>1</v>
      </c>
      <c r="H25" s="13"/>
      <c r="I25" s="11" t="s">
        <v>36</v>
      </c>
      <c r="J25" s="17" t="str">
        <f t="shared" si="1"/>
        <v>WizardWrx_Libs\ConsoleAppAids\ConsoleAppAids</v>
      </c>
    </row>
    <row r="26" spans="1:10" x14ac:dyDescent="0.25">
      <c r="A26" s="10" t="s">
        <v>34</v>
      </c>
      <c r="B26" s="10" t="s">
        <v>110</v>
      </c>
      <c r="C26" s="10" t="s">
        <v>111</v>
      </c>
      <c r="D26" s="10" t="s">
        <v>112</v>
      </c>
      <c r="E26" s="13">
        <v>11</v>
      </c>
      <c r="F26" s="13" t="b">
        <f t="shared" si="0"/>
        <v>1</v>
      </c>
      <c r="G26" s="13" t="b">
        <v>1</v>
      </c>
      <c r="H26" s="13"/>
      <c r="I26" s="11" t="s">
        <v>37</v>
      </c>
      <c r="J26" s="17" t="str">
        <f t="shared" si="1"/>
        <v>WizardWrx_Libs\ConsoleAppAids\ConsoleAppAids</v>
      </c>
    </row>
    <row r="27" spans="1:10" x14ac:dyDescent="0.25">
      <c r="A27" s="10" t="s">
        <v>34</v>
      </c>
      <c r="B27" s="10" t="s">
        <v>110</v>
      </c>
      <c r="C27" s="10" t="s">
        <v>111</v>
      </c>
      <c r="D27" s="10" t="s">
        <v>112</v>
      </c>
      <c r="E27" s="13">
        <v>12</v>
      </c>
      <c r="F27" s="13" t="b">
        <f t="shared" si="0"/>
        <v>0</v>
      </c>
      <c r="G27" s="13"/>
      <c r="H27" s="13"/>
      <c r="I27" s="11" t="s">
        <v>38</v>
      </c>
      <c r="J27" s="17" t="str">
        <f t="shared" si="1"/>
        <v>WizardWrx_Libs\ConsoleAppAids\ConsoleAppAids</v>
      </c>
    </row>
    <row r="28" spans="1:10" x14ac:dyDescent="0.25">
      <c r="A28" s="10" t="s">
        <v>34</v>
      </c>
      <c r="B28" s="10" t="s">
        <v>110</v>
      </c>
      <c r="C28" s="10" t="s">
        <v>111</v>
      </c>
      <c r="D28" s="10" t="s">
        <v>112</v>
      </c>
      <c r="E28" s="13">
        <v>89</v>
      </c>
      <c r="F28" s="13" t="b">
        <f t="shared" si="0"/>
        <v>0</v>
      </c>
      <c r="G28" s="13"/>
      <c r="H28" s="13"/>
      <c r="I28" s="11" t="s">
        <v>39</v>
      </c>
      <c r="J28" s="17" t="str">
        <f t="shared" si="1"/>
        <v>WizardWrx_Libs\ConsoleAppAids\ConsoleAppAids</v>
      </c>
    </row>
    <row r="29" spans="1:10" x14ac:dyDescent="0.25">
      <c r="A29" s="10" t="s">
        <v>34</v>
      </c>
      <c r="B29" s="10" t="s">
        <v>110</v>
      </c>
      <c r="C29" s="10" t="s">
        <v>111</v>
      </c>
      <c r="D29" s="10" t="s">
        <v>112</v>
      </c>
      <c r="E29" s="13">
        <v>90</v>
      </c>
      <c r="F29" s="13" t="b">
        <f t="shared" si="0"/>
        <v>1</v>
      </c>
      <c r="G29" s="13" t="b">
        <v>1</v>
      </c>
      <c r="H29" s="13"/>
      <c r="I29" s="11" t="s">
        <v>40</v>
      </c>
      <c r="J29" s="17" t="str">
        <f t="shared" si="1"/>
        <v>WizardWrx_Libs\ConsoleAppAids\ConsoleAppAids</v>
      </c>
    </row>
    <row r="30" spans="1:10" x14ac:dyDescent="0.25">
      <c r="A30" s="10" t="s">
        <v>34</v>
      </c>
      <c r="B30" s="10" t="s">
        <v>110</v>
      </c>
      <c r="C30" s="10" t="s">
        <v>111</v>
      </c>
      <c r="D30" s="10" t="s">
        <v>112</v>
      </c>
      <c r="E30" s="13">
        <v>172</v>
      </c>
      <c r="F30" s="13" t="b">
        <f t="shared" si="0"/>
        <v>1</v>
      </c>
      <c r="G30" s="13" t="b">
        <v>1</v>
      </c>
      <c r="H30" s="13"/>
      <c r="I30" s="11" t="s">
        <v>41</v>
      </c>
      <c r="J30" s="17" t="str">
        <f t="shared" si="1"/>
        <v>WizardWrx_Libs\ConsoleAppAids\ConsoleAppAids</v>
      </c>
    </row>
    <row r="31" spans="1:10" x14ac:dyDescent="0.25">
      <c r="A31" s="10" t="s">
        <v>34</v>
      </c>
      <c r="B31" s="10" t="s">
        <v>110</v>
      </c>
      <c r="C31" s="10" t="s">
        <v>111</v>
      </c>
      <c r="D31" s="10" t="s">
        <v>112</v>
      </c>
      <c r="E31" s="13">
        <v>717</v>
      </c>
      <c r="F31" s="13" t="b">
        <f t="shared" si="0"/>
        <v>1</v>
      </c>
      <c r="G31" s="13" t="b">
        <v>1</v>
      </c>
      <c r="H31" s="13"/>
      <c r="I31" s="11" t="s">
        <v>42</v>
      </c>
      <c r="J31" s="17" t="str">
        <f t="shared" si="1"/>
        <v>WizardWrx_Libs\ConsoleAppAids\ConsoleAppAids</v>
      </c>
    </row>
    <row r="32" spans="1:10" x14ac:dyDescent="0.25">
      <c r="A32" s="10" t="s">
        <v>43</v>
      </c>
      <c r="B32" s="10" t="s">
        <v>110</v>
      </c>
      <c r="C32" s="10" t="s">
        <v>111</v>
      </c>
      <c r="D32" s="10" t="s">
        <v>113</v>
      </c>
      <c r="E32" s="13">
        <v>50</v>
      </c>
      <c r="F32" s="13" t="b">
        <f t="shared" si="0"/>
        <v>0</v>
      </c>
      <c r="G32" s="13"/>
      <c r="H32" s="13"/>
      <c r="I32" s="11" t="s">
        <v>44</v>
      </c>
      <c r="J32" s="17" t="str">
        <f t="shared" si="1"/>
        <v>WizardWrx_Libs\ConsoleAppAids\ConsoleAppAids</v>
      </c>
    </row>
    <row r="33" spans="1:10" x14ac:dyDescent="0.25">
      <c r="A33" s="10" t="s">
        <v>45</v>
      </c>
      <c r="B33" s="10" t="s">
        <v>114</v>
      </c>
      <c r="C33" s="10" t="s">
        <v>115</v>
      </c>
      <c r="D33" s="10" t="s">
        <v>89</v>
      </c>
      <c r="E33" s="13">
        <v>360</v>
      </c>
      <c r="F33" s="13" t="b">
        <f t="shared" si="0"/>
        <v>0</v>
      </c>
      <c r="G33" s="13"/>
      <c r="H33" s="13"/>
      <c r="I33" s="11" t="s">
        <v>46</v>
      </c>
      <c r="J33" s="17" t="str">
        <f t="shared" si="1"/>
        <v>WizardWrx_Libs\ConsoleAppAids\TestStand</v>
      </c>
    </row>
    <row r="34" spans="1:10" x14ac:dyDescent="0.25">
      <c r="A34" s="10" t="s">
        <v>45</v>
      </c>
      <c r="B34" s="10" t="s">
        <v>114</v>
      </c>
      <c r="C34" s="10" t="s">
        <v>115</v>
      </c>
      <c r="D34" s="10" t="s">
        <v>89</v>
      </c>
      <c r="E34" s="13">
        <v>440</v>
      </c>
      <c r="F34" s="13" t="b">
        <f t="shared" ref="F34:F66" si="2">NOT(ISERROR(FIND(" ExceptionReporting",I34)))</f>
        <v>0</v>
      </c>
      <c r="G34" s="13"/>
      <c r="H34" s="13"/>
      <c r="I34" s="11" t="s">
        <v>47</v>
      </c>
      <c r="J34" s="17" t="str">
        <f t="shared" si="1"/>
        <v>WizardWrx_Libs\ConsoleAppAids\TestStand</v>
      </c>
    </row>
    <row r="35" spans="1:10" x14ac:dyDescent="0.25">
      <c r="A35" s="10" t="s">
        <v>45</v>
      </c>
      <c r="B35" s="10" t="s">
        <v>114</v>
      </c>
      <c r="C35" s="10" t="s">
        <v>115</v>
      </c>
      <c r="D35" s="10" t="s">
        <v>89</v>
      </c>
      <c r="E35" s="13">
        <v>466</v>
      </c>
      <c r="F35" s="13" t="b">
        <f t="shared" si="2"/>
        <v>1</v>
      </c>
      <c r="G35" s="13" t="b">
        <v>1</v>
      </c>
      <c r="H35" s="13"/>
      <c r="I35" s="11" t="s">
        <v>48</v>
      </c>
      <c r="J35" s="17" t="str">
        <f t="shared" si="1"/>
        <v>WizardWrx_Libs\ConsoleAppAids\TestStand</v>
      </c>
    </row>
    <row r="36" spans="1:10" x14ac:dyDescent="0.25">
      <c r="A36" s="10" t="s">
        <v>45</v>
      </c>
      <c r="B36" s="10" t="s">
        <v>114</v>
      </c>
      <c r="C36" s="10" t="s">
        <v>115</v>
      </c>
      <c r="D36" s="10" t="s">
        <v>89</v>
      </c>
      <c r="E36" s="13">
        <v>491</v>
      </c>
      <c r="F36" s="13" t="b">
        <f t="shared" si="2"/>
        <v>0</v>
      </c>
      <c r="G36" s="13"/>
      <c r="H36" s="13"/>
      <c r="I36" s="11" t="s">
        <v>49</v>
      </c>
      <c r="J36" s="17" t="str">
        <f t="shared" si="1"/>
        <v>WizardWrx_Libs\ConsoleAppAids\TestStand</v>
      </c>
    </row>
    <row r="37" spans="1:10" x14ac:dyDescent="0.25">
      <c r="A37" s="10" t="s">
        <v>45</v>
      </c>
      <c r="B37" s="10" t="s">
        <v>114</v>
      </c>
      <c r="C37" s="10" t="s">
        <v>115</v>
      </c>
      <c r="D37" s="10" t="s">
        <v>89</v>
      </c>
      <c r="E37" s="13">
        <v>522</v>
      </c>
      <c r="F37" s="13" t="b">
        <f t="shared" si="2"/>
        <v>0</v>
      </c>
      <c r="G37" s="13"/>
      <c r="H37" s="13"/>
      <c r="I37" s="11" t="s">
        <v>50</v>
      </c>
      <c r="J37" s="17" t="str">
        <f t="shared" si="1"/>
        <v>WizardWrx_Libs\ConsoleAppAids\TestStand</v>
      </c>
    </row>
    <row r="38" spans="1:10" x14ac:dyDescent="0.25">
      <c r="A38" s="10" t="s">
        <v>51</v>
      </c>
      <c r="B38" s="10" t="s">
        <v>116</v>
      </c>
      <c r="C38" s="10" t="s">
        <v>117</v>
      </c>
      <c r="D38" s="10" t="s">
        <v>89</v>
      </c>
      <c r="E38" s="13">
        <v>110</v>
      </c>
      <c r="F38" s="13" t="b">
        <f t="shared" si="2"/>
        <v>0</v>
      </c>
      <c r="G38" s="13"/>
      <c r="H38" s="13"/>
      <c r="I38" s="11" t="s">
        <v>17</v>
      </c>
      <c r="J38" s="17" t="str">
        <f t="shared" si="1"/>
        <v>WizardWrx_Libs\CSV_Parsing\LumenWorks_vs_DDR\LumenWorks_vs_DDR</v>
      </c>
    </row>
    <row r="39" spans="1:10" x14ac:dyDescent="0.25">
      <c r="A39" s="10" t="s">
        <v>52</v>
      </c>
      <c r="B39" s="10" t="s">
        <v>118</v>
      </c>
      <c r="C39" s="10" t="s">
        <v>119</v>
      </c>
      <c r="D39" s="10" t="s">
        <v>120</v>
      </c>
      <c r="E39" s="13">
        <v>16</v>
      </c>
      <c r="F39" s="13" t="b">
        <f t="shared" si="2"/>
        <v>0</v>
      </c>
      <c r="G39" s="13"/>
      <c r="H39" s="13"/>
      <c r="I39" s="11" t="s">
        <v>53</v>
      </c>
      <c r="J39" s="17" t="str">
        <f t="shared" si="1"/>
        <v>WizardWrx_Libs\SharedUtl2\SharedUtl2</v>
      </c>
    </row>
    <row r="40" spans="1:10" x14ac:dyDescent="0.25">
      <c r="A40" s="10" t="s">
        <v>52</v>
      </c>
      <c r="B40" s="10" t="s">
        <v>118</v>
      </c>
      <c r="C40" s="10" t="s">
        <v>119</v>
      </c>
      <c r="D40" s="10" t="s">
        <v>120</v>
      </c>
      <c r="E40" s="13">
        <v>18</v>
      </c>
      <c r="F40" s="13" t="b">
        <f t="shared" si="2"/>
        <v>0</v>
      </c>
      <c r="G40" s="13"/>
      <c r="H40" s="13"/>
      <c r="I40" s="11" t="s">
        <v>54</v>
      </c>
      <c r="J40" s="17" t="str">
        <f t="shared" si="1"/>
        <v>WizardWrx_Libs\SharedUtl2\SharedUtl2</v>
      </c>
    </row>
    <row r="41" spans="1:10" x14ac:dyDescent="0.25">
      <c r="A41" s="10" t="s">
        <v>52</v>
      </c>
      <c r="B41" s="10" t="s">
        <v>118</v>
      </c>
      <c r="C41" s="10" t="s">
        <v>119</v>
      </c>
      <c r="D41" s="10" t="s">
        <v>120</v>
      </c>
      <c r="E41" s="13">
        <v>23</v>
      </c>
      <c r="F41" s="13" t="b">
        <f t="shared" si="2"/>
        <v>0</v>
      </c>
      <c r="G41" s="13"/>
      <c r="H41" s="13"/>
      <c r="I41" s="11" t="s">
        <v>55</v>
      </c>
      <c r="J41" s="17" t="str">
        <f t="shared" si="1"/>
        <v>WizardWrx_Libs\SharedUtl2\SharedUtl2</v>
      </c>
    </row>
    <row r="42" spans="1:10" x14ac:dyDescent="0.25">
      <c r="A42" s="10" t="s">
        <v>52</v>
      </c>
      <c r="B42" s="10" t="s">
        <v>118</v>
      </c>
      <c r="C42" s="10" t="s">
        <v>119</v>
      </c>
      <c r="D42" s="10" t="s">
        <v>120</v>
      </c>
      <c r="E42" s="13">
        <v>124</v>
      </c>
      <c r="F42" s="13" t="b">
        <f t="shared" si="2"/>
        <v>0</v>
      </c>
      <c r="G42" s="13"/>
      <c r="H42" s="13"/>
      <c r="I42" s="11" t="s">
        <v>56</v>
      </c>
      <c r="J42" s="17" t="str">
        <f t="shared" si="1"/>
        <v>WizardWrx_Libs\SharedUtl2\SharedUtl2</v>
      </c>
    </row>
    <row r="43" spans="1:10" x14ac:dyDescent="0.25">
      <c r="A43" s="10" t="s">
        <v>52</v>
      </c>
      <c r="B43" s="10" t="s">
        <v>118</v>
      </c>
      <c r="C43" s="10" t="s">
        <v>119</v>
      </c>
      <c r="D43" s="10" t="s">
        <v>120</v>
      </c>
      <c r="E43" s="13">
        <v>573</v>
      </c>
      <c r="F43" s="13" t="b">
        <f t="shared" si="2"/>
        <v>0</v>
      </c>
      <c r="G43" s="13"/>
      <c r="H43" s="13"/>
      <c r="I43" s="11" t="s">
        <v>57</v>
      </c>
      <c r="J43" s="17" t="str">
        <f t="shared" si="1"/>
        <v>WizardWrx_Libs\SharedUtl2\SharedUtl2</v>
      </c>
    </row>
    <row r="44" spans="1:10" x14ac:dyDescent="0.25">
      <c r="A44" s="10" t="s">
        <v>58</v>
      </c>
      <c r="B44" s="10" t="s">
        <v>118</v>
      </c>
      <c r="C44" s="10" t="s">
        <v>119</v>
      </c>
      <c r="D44" s="10" t="s">
        <v>121</v>
      </c>
      <c r="E44" s="13">
        <v>66</v>
      </c>
      <c r="F44" s="13" t="b">
        <f t="shared" si="2"/>
        <v>0</v>
      </c>
      <c r="G44" s="13"/>
      <c r="H44" s="13"/>
      <c r="I44" s="11" t="s">
        <v>59</v>
      </c>
      <c r="J44" s="17" t="str">
        <f t="shared" si="1"/>
        <v>WizardWrx_Libs\SharedUtl2\SharedUtl2</v>
      </c>
    </row>
    <row r="45" spans="1:10" x14ac:dyDescent="0.25">
      <c r="A45" s="10" t="s">
        <v>60</v>
      </c>
      <c r="B45" s="10" t="s">
        <v>122</v>
      </c>
      <c r="C45" s="10" t="s">
        <v>123</v>
      </c>
      <c r="D45" s="10" t="s">
        <v>89</v>
      </c>
      <c r="E45" s="13">
        <v>896</v>
      </c>
      <c r="F45" s="13" t="b">
        <f t="shared" si="2"/>
        <v>0</v>
      </c>
      <c r="G45" s="13"/>
      <c r="H45" s="13"/>
      <c r="I45" s="11" t="s">
        <v>61</v>
      </c>
      <c r="J45" s="17" t="str">
        <f t="shared" si="1"/>
        <v>WizardWrx_Libs\SharedUtl2\SharedUtl2_Mutex_Tester</v>
      </c>
    </row>
    <row r="46" spans="1:10" x14ac:dyDescent="0.25">
      <c r="A46" s="10" t="s">
        <v>60</v>
      </c>
      <c r="B46" s="10" t="s">
        <v>122</v>
      </c>
      <c r="C46" s="10" t="s">
        <v>123</v>
      </c>
      <c r="D46" s="10" t="s">
        <v>89</v>
      </c>
      <c r="E46" s="13">
        <v>908</v>
      </c>
      <c r="F46" s="13" t="b">
        <f t="shared" si="2"/>
        <v>0</v>
      </c>
      <c r="G46" s="13"/>
      <c r="H46" s="13"/>
      <c r="I46" s="11" t="s">
        <v>17</v>
      </c>
      <c r="J46" s="17" t="str">
        <f t="shared" si="1"/>
        <v>WizardWrx_Libs\SharedUtl2\SharedUtl2_Mutex_Tester</v>
      </c>
    </row>
    <row r="47" spans="1:10" x14ac:dyDescent="0.25">
      <c r="A47" s="10" t="s">
        <v>62</v>
      </c>
      <c r="B47" s="10" t="s">
        <v>124</v>
      </c>
      <c r="C47" s="10" t="s">
        <v>125</v>
      </c>
      <c r="D47" s="10" t="s">
        <v>126</v>
      </c>
      <c r="E47" s="13">
        <v>100</v>
      </c>
      <c r="F47" s="13" t="b">
        <f t="shared" si="2"/>
        <v>0</v>
      </c>
      <c r="G47" s="13"/>
      <c r="H47" s="13"/>
      <c r="I47" s="11" t="s">
        <v>30</v>
      </c>
      <c r="J47" s="17" t="str">
        <f t="shared" si="1"/>
        <v>WizardWrx_Libs\SharedUtl2\SharedUtl2_Test_Harness\SharedUtl2_Test_Harness</v>
      </c>
    </row>
    <row r="48" spans="1:10" x14ac:dyDescent="0.25">
      <c r="A48" s="10" t="s">
        <v>62</v>
      </c>
      <c r="B48" s="10" t="s">
        <v>124</v>
      </c>
      <c r="C48" s="10" t="s">
        <v>125</v>
      </c>
      <c r="D48" s="10" t="s">
        <v>126</v>
      </c>
      <c r="E48" s="13">
        <v>106</v>
      </c>
      <c r="F48" s="13" t="b">
        <f t="shared" si="2"/>
        <v>0</v>
      </c>
      <c r="G48" s="13"/>
      <c r="H48" s="13"/>
      <c r="I48" s="11" t="s">
        <v>30</v>
      </c>
      <c r="J48" s="17" t="str">
        <f t="shared" si="1"/>
        <v>WizardWrx_Libs\SharedUtl2\SharedUtl2_Test_Harness\SharedUtl2_Test_Harness</v>
      </c>
    </row>
    <row r="49" spans="1:10" x14ac:dyDescent="0.25">
      <c r="A49" s="10" t="s">
        <v>62</v>
      </c>
      <c r="B49" s="10" t="s">
        <v>124</v>
      </c>
      <c r="C49" s="10" t="s">
        <v>125</v>
      </c>
      <c r="D49" s="10" t="s">
        <v>126</v>
      </c>
      <c r="E49" s="13">
        <v>112</v>
      </c>
      <c r="F49" s="13" t="b">
        <f t="shared" si="2"/>
        <v>0</v>
      </c>
      <c r="G49" s="13"/>
      <c r="H49" s="13"/>
      <c r="I49" s="11" t="s">
        <v>30</v>
      </c>
      <c r="J49" s="17" t="str">
        <f t="shared" si="1"/>
        <v>WizardWrx_Libs\SharedUtl2\SharedUtl2_Test_Harness\SharedUtl2_Test_Harness</v>
      </c>
    </row>
    <row r="50" spans="1:10" x14ac:dyDescent="0.25">
      <c r="A50" s="10" t="s">
        <v>62</v>
      </c>
      <c r="B50" s="10" t="s">
        <v>124</v>
      </c>
      <c r="C50" s="10" t="s">
        <v>125</v>
      </c>
      <c r="D50" s="10" t="s">
        <v>126</v>
      </c>
      <c r="E50" s="13">
        <v>118</v>
      </c>
      <c r="F50" s="13" t="b">
        <f t="shared" si="2"/>
        <v>0</v>
      </c>
      <c r="G50" s="13"/>
      <c r="H50" s="13"/>
      <c r="I50" s="11" t="s">
        <v>30</v>
      </c>
      <c r="J50" s="17" t="str">
        <f t="shared" si="1"/>
        <v>WizardWrx_Libs\SharedUtl2\SharedUtl2_Test_Harness\SharedUtl2_Test_Harness</v>
      </c>
    </row>
    <row r="51" spans="1:10" x14ac:dyDescent="0.25">
      <c r="A51" s="10" t="s">
        <v>62</v>
      </c>
      <c r="B51" s="10" t="s">
        <v>124</v>
      </c>
      <c r="C51" s="10" t="s">
        <v>125</v>
      </c>
      <c r="D51" s="10" t="s">
        <v>126</v>
      </c>
      <c r="E51" s="13">
        <v>153</v>
      </c>
      <c r="F51" s="13" t="b">
        <f t="shared" si="2"/>
        <v>0</v>
      </c>
      <c r="G51" s="13"/>
      <c r="H51" s="13"/>
      <c r="I51" s="11" t="s">
        <v>30</v>
      </c>
      <c r="J51" s="17" t="str">
        <f t="shared" si="1"/>
        <v>WizardWrx_Libs\SharedUtl2\SharedUtl2_Test_Harness\SharedUtl2_Test_Harness</v>
      </c>
    </row>
    <row r="52" spans="1:10" x14ac:dyDescent="0.25">
      <c r="A52" s="10" t="s">
        <v>62</v>
      </c>
      <c r="B52" s="10" t="s">
        <v>124</v>
      </c>
      <c r="C52" s="10" t="s">
        <v>125</v>
      </c>
      <c r="D52" s="10" t="s">
        <v>126</v>
      </c>
      <c r="E52" s="13">
        <v>159</v>
      </c>
      <c r="F52" s="13" t="b">
        <f t="shared" si="2"/>
        <v>0</v>
      </c>
      <c r="G52" s="13"/>
      <c r="H52" s="13"/>
      <c r="I52" s="11" t="s">
        <v>30</v>
      </c>
      <c r="J52" s="17" t="str">
        <f t="shared" si="1"/>
        <v>WizardWrx_Libs\SharedUtl2\SharedUtl2_Test_Harness\SharedUtl2_Test_Harness</v>
      </c>
    </row>
    <row r="53" spans="1:10" x14ac:dyDescent="0.25">
      <c r="A53" s="10" t="s">
        <v>62</v>
      </c>
      <c r="B53" s="10" t="s">
        <v>124</v>
      </c>
      <c r="C53" s="10" t="s">
        <v>125</v>
      </c>
      <c r="D53" s="10" t="s">
        <v>126</v>
      </c>
      <c r="E53" s="13">
        <v>165</v>
      </c>
      <c r="F53" s="13" t="b">
        <f t="shared" si="2"/>
        <v>0</v>
      </c>
      <c r="G53" s="13"/>
      <c r="H53" s="13"/>
      <c r="I53" s="11" t="s">
        <v>30</v>
      </c>
      <c r="J53" s="17" t="str">
        <f t="shared" si="1"/>
        <v>WizardWrx_Libs\SharedUtl2\SharedUtl2_Test_Harness\SharedUtl2_Test_Harness</v>
      </c>
    </row>
    <row r="54" spans="1:10" x14ac:dyDescent="0.25">
      <c r="A54" s="10" t="s">
        <v>62</v>
      </c>
      <c r="B54" s="10" t="s">
        <v>124</v>
      </c>
      <c r="C54" s="10" t="s">
        <v>125</v>
      </c>
      <c r="D54" s="10" t="s">
        <v>126</v>
      </c>
      <c r="E54" s="13">
        <v>171</v>
      </c>
      <c r="F54" s="13" t="b">
        <f t="shared" si="2"/>
        <v>0</v>
      </c>
      <c r="G54" s="13"/>
      <c r="H54" s="13"/>
      <c r="I54" s="11" t="s">
        <v>30</v>
      </c>
      <c r="J54" s="17" t="str">
        <f t="shared" si="1"/>
        <v>WizardWrx_Libs\SharedUtl2\SharedUtl2_Test_Harness\SharedUtl2_Test_Harness</v>
      </c>
    </row>
    <row r="55" spans="1:10" x14ac:dyDescent="0.25">
      <c r="A55" s="10" t="s">
        <v>62</v>
      </c>
      <c r="B55" s="10" t="s">
        <v>124</v>
      </c>
      <c r="C55" s="10" t="s">
        <v>125</v>
      </c>
      <c r="D55" s="10" t="s">
        <v>126</v>
      </c>
      <c r="E55" s="13">
        <v>206</v>
      </c>
      <c r="F55" s="13" t="b">
        <f t="shared" si="2"/>
        <v>0</v>
      </c>
      <c r="G55" s="13"/>
      <c r="H55" s="13"/>
      <c r="I55" s="11" t="s">
        <v>30</v>
      </c>
      <c r="J55" s="17" t="str">
        <f t="shared" si="1"/>
        <v>WizardWrx_Libs\SharedUtl2\SharedUtl2_Test_Harness\SharedUtl2_Test_Harness</v>
      </c>
    </row>
    <row r="56" spans="1:10" x14ac:dyDescent="0.25">
      <c r="A56" s="10" t="s">
        <v>62</v>
      </c>
      <c r="B56" s="10" t="s">
        <v>124</v>
      </c>
      <c r="C56" s="10" t="s">
        <v>125</v>
      </c>
      <c r="D56" s="10" t="s">
        <v>126</v>
      </c>
      <c r="E56" s="13">
        <v>212</v>
      </c>
      <c r="F56" s="13" t="b">
        <f t="shared" si="2"/>
        <v>0</v>
      </c>
      <c r="G56" s="13"/>
      <c r="H56" s="13"/>
      <c r="I56" s="11" t="s">
        <v>30</v>
      </c>
      <c r="J56" s="17" t="str">
        <f t="shared" si="1"/>
        <v>WizardWrx_Libs\SharedUtl2\SharedUtl2_Test_Harness\SharedUtl2_Test_Harness</v>
      </c>
    </row>
    <row r="57" spans="1:10" x14ac:dyDescent="0.25">
      <c r="A57" s="10" t="s">
        <v>62</v>
      </c>
      <c r="B57" s="10" t="s">
        <v>124</v>
      </c>
      <c r="C57" s="10" t="s">
        <v>125</v>
      </c>
      <c r="D57" s="10" t="s">
        <v>126</v>
      </c>
      <c r="E57" s="13">
        <v>218</v>
      </c>
      <c r="F57" s="13" t="b">
        <f t="shared" si="2"/>
        <v>0</v>
      </c>
      <c r="G57" s="13"/>
      <c r="H57" s="13"/>
      <c r="I57" s="11" t="s">
        <v>30</v>
      </c>
      <c r="J57" s="17" t="str">
        <f t="shared" si="1"/>
        <v>WizardWrx_Libs\SharedUtl2\SharedUtl2_Test_Harness\SharedUtl2_Test_Harness</v>
      </c>
    </row>
    <row r="58" spans="1:10" x14ac:dyDescent="0.25">
      <c r="A58" s="10" t="s">
        <v>62</v>
      </c>
      <c r="B58" s="10" t="s">
        <v>124</v>
      </c>
      <c r="C58" s="10" t="s">
        <v>125</v>
      </c>
      <c r="D58" s="10" t="s">
        <v>126</v>
      </c>
      <c r="E58" s="13">
        <v>224</v>
      </c>
      <c r="F58" s="13" t="b">
        <f t="shared" si="2"/>
        <v>0</v>
      </c>
      <c r="G58" s="13"/>
      <c r="H58" s="13"/>
      <c r="I58" s="11" t="s">
        <v>30</v>
      </c>
      <c r="J58" s="17" t="str">
        <f t="shared" si="1"/>
        <v>WizardWrx_Libs\SharedUtl2\SharedUtl2_Test_Harness\SharedUtl2_Test_Harness</v>
      </c>
    </row>
    <row r="59" spans="1:10" x14ac:dyDescent="0.25">
      <c r="A59" s="10" t="s">
        <v>62</v>
      </c>
      <c r="B59" s="10" t="s">
        <v>124</v>
      </c>
      <c r="C59" s="10" t="s">
        <v>125</v>
      </c>
      <c r="D59" s="10" t="s">
        <v>126</v>
      </c>
      <c r="E59" s="13">
        <v>297</v>
      </c>
      <c r="F59" s="13" t="b">
        <f t="shared" si="2"/>
        <v>0</v>
      </c>
      <c r="G59" s="13"/>
      <c r="H59" s="13"/>
      <c r="I59" s="11" t="s">
        <v>30</v>
      </c>
      <c r="J59" s="17" t="str">
        <f t="shared" si="1"/>
        <v>WizardWrx_Libs\SharedUtl2\SharedUtl2_Test_Harness\SharedUtl2_Test_Harness</v>
      </c>
    </row>
    <row r="60" spans="1:10" x14ac:dyDescent="0.25">
      <c r="A60" s="10" t="s">
        <v>62</v>
      </c>
      <c r="B60" s="10" t="s">
        <v>124</v>
      </c>
      <c r="C60" s="10" t="s">
        <v>125</v>
      </c>
      <c r="D60" s="10" t="s">
        <v>126</v>
      </c>
      <c r="E60" s="13">
        <v>303</v>
      </c>
      <c r="F60" s="13" t="b">
        <f t="shared" si="2"/>
        <v>0</v>
      </c>
      <c r="G60" s="13"/>
      <c r="H60" s="13"/>
      <c r="I60" s="11" t="s">
        <v>30</v>
      </c>
      <c r="J60" s="17" t="str">
        <f t="shared" si="1"/>
        <v>WizardWrx_Libs\SharedUtl2\SharedUtl2_Test_Harness\SharedUtl2_Test_Harness</v>
      </c>
    </row>
    <row r="61" spans="1:10" x14ac:dyDescent="0.25">
      <c r="A61" s="10" t="s">
        <v>62</v>
      </c>
      <c r="B61" s="10" t="s">
        <v>124</v>
      </c>
      <c r="C61" s="10" t="s">
        <v>125</v>
      </c>
      <c r="D61" s="10" t="s">
        <v>126</v>
      </c>
      <c r="E61" s="13">
        <v>309</v>
      </c>
      <c r="F61" s="13" t="b">
        <f t="shared" si="2"/>
        <v>0</v>
      </c>
      <c r="G61" s="13"/>
      <c r="H61" s="13"/>
      <c r="I61" s="11" t="s">
        <v>30</v>
      </c>
      <c r="J61" s="17" t="str">
        <f t="shared" si="1"/>
        <v>WizardWrx_Libs\SharedUtl2\SharedUtl2_Test_Harness\SharedUtl2_Test_Harness</v>
      </c>
    </row>
    <row r="62" spans="1:10" x14ac:dyDescent="0.25">
      <c r="A62" s="10" t="s">
        <v>62</v>
      </c>
      <c r="B62" s="10" t="s">
        <v>124</v>
      </c>
      <c r="C62" s="10" t="s">
        <v>125</v>
      </c>
      <c r="D62" s="10" t="s">
        <v>126</v>
      </c>
      <c r="E62" s="13">
        <v>315</v>
      </c>
      <c r="F62" s="13" t="b">
        <f t="shared" si="2"/>
        <v>0</v>
      </c>
      <c r="G62" s="13"/>
      <c r="H62" s="13"/>
      <c r="I62" s="11" t="s">
        <v>30</v>
      </c>
      <c r="J62" s="17" t="str">
        <f t="shared" si="1"/>
        <v>WizardWrx_Libs\SharedUtl2\SharedUtl2_Test_Harness\SharedUtl2_Test_Harness</v>
      </c>
    </row>
    <row r="63" spans="1:10" x14ac:dyDescent="0.25">
      <c r="A63" s="10" t="s">
        <v>63</v>
      </c>
      <c r="B63" s="10" t="s">
        <v>124</v>
      </c>
      <c r="C63" s="10" t="s">
        <v>125</v>
      </c>
      <c r="D63" s="10" t="s">
        <v>89</v>
      </c>
      <c r="E63" s="13">
        <v>119</v>
      </c>
      <c r="F63" s="13" t="b">
        <f t="shared" si="2"/>
        <v>0</v>
      </c>
      <c r="G63" s="13"/>
      <c r="H63" s="13"/>
      <c r="I63" s="11" t="s">
        <v>64</v>
      </c>
      <c r="J63" s="17" t="str">
        <f t="shared" si="1"/>
        <v>WizardWrx_Libs\SharedUtl2\SharedUtl2_Test_Harness\SharedUtl2_Test_Harness</v>
      </c>
    </row>
    <row r="64" spans="1:10" x14ac:dyDescent="0.25">
      <c r="A64" s="10" t="s">
        <v>65</v>
      </c>
      <c r="B64" s="10" t="s">
        <v>124</v>
      </c>
      <c r="C64" s="10" t="s">
        <v>125</v>
      </c>
      <c r="D64" s="10" t="s">
        <v>127</v>
      </c>
      <c r="E64" s="13">
        <v>83</v>
      </c>
      <c r="F64" s="13" t="b">
        <f t="shared" si="2"/>
        <v>0</v>
      </c>
      <c r="G64" s="13"/>
      <c r="H64" s="13"/>
      <c r="I64" s="11" t="s">
        <v>17</v>
      </c>
      <c r="J64" s="17" t="str">
        <f t="shared" si="1"/>
        <v>WizardWrx_Libs\SharedUtl2\SharedUtl2_Test_Harness\SharedUtl2_Test_Harness</v>
      </c>
    </row>
    <row r="65" spans="1:10" x14ac:dyDescent="0.25">
      <c r="A65" s="10" t="s">
        <v>65</v>
      </c>
      <c r="B65" s="10" t="s">
        <v>124</v>
      </c>
      <c r="C65" s="10" t="s">
        <v>125</v>
      </c>
      <c r="D65" s="10" t="s">
        <v>127</v>
      </c>
      <c r="E65" s="13">
        <v>89</v>
      </c>
      <c r="F65" s="13" t="b">
        <f t="shared" si="2"/>
        <v>0</v>
      </c>
      <c r="G65" s="13"/>
      <c r="H65" s="13"/>
      <c r="I65" s="11" t="s">
        <v>17</v>
      </c>
      <c r="J65" s="17" t="str">
        <f t="shared" si="1"/>
        <v>WizardWrx_Libs\SharedUtl2\SharedUtl2_Test_Harness\SharedUtl2_Test_Harness</v>
      </c>
    </row>
    <row r="66" spans="1:10" x14ac:dyDescent="0.25">
      <c r="A66" s="10" t="s">
        <v>65</v>
      </c>
      <c r="B66" s="10" t="s">
        <v>124</v>
      </c>
      <c r="C66" s="10" t="s">
        <v>125</v>
      </c>
      <c r="D66" s="10" t="s">
        <v>127</v>
      </c>
      <c r="E66" s="13">
        <v>109</v>
      </c>
      <c r="F66" s="13" t="b">
        <f t="shared" si="2"/>
        <v>0</v>
      </c>
      <c r="G66" s="13"/>
      <c r="H66" s="13"/>
      <c r="I66" s="11" t="s">
        <v>17</v>
      </c>
      <c r="J66" s="17" t="str">
        <f t="shared" si="1"/>
        <v>WizardWrx_Libs\SharedUtl2\SharedUtl2_Test_Harness\SharedUtl2_Test_Harness</v>
      </c>
    </row>
    <row r="67" spans="1:10" x14ac:dyDescent="0.25">
      <c r="A67" s="10" t="s">
        <v>65</v>
      </c>
      <c r="B67" s="10" t="s">
        <v>124</v>
      </c>
      <c r="C67" s="10" t="s">
        <v>125</v>
      </c>
      <c r="D67" s="10" t="s">
        <v>127</v>
      </c>
      <c r="E67" s="13">
        <v>115</v>
      </c>
      <c r="F67" s="13" t="b">
        <f t="shared" ref="F67:F105" si="3">NOT(ISERROR(FIND(" ExceptionReporting",I67)))</f>
        <v>0</v>
      </c>
      <c r="G67" s="13"/>
      <c r="H67" s="13"/>
      <c r="I67" s="11" t="s">
        <v>17</v>
      </c>
      <c r="J67" s="17" t="str">
        <f t="shared" si="1"/>
        <v>WizardWrx_Libs\SharedUtl2\SharedUtl2_Test_Harness\SharedUtl2_Test_Harness</v>
      </c>
    </row>
    <row r="68" spans="1:10" x14ac:dyDescent="0.25">
      <c r="A68" s="10" t="s">
        <v>65</v>
      </c>
      <c r="B68" s="10" t="s">
        <v>124</v>
      </c>
      <c r="C68" s="10" t="s">
        <v>125</v>
      </c>
      <c r="D68" s="10" t="s">
        <v>127</v>
      </c>
      <c r="E68" s="13">
        <v>138</v>
      </c>
      <c r="F68" s="13" t="b">
        <f t="shared" si="3"/>
        <v>0</v>
      </c>
      <c r="G68" s="13"/>
      <c r="H68" s="13"/>
      <c r="I68" s="11" t="s">
        <v>17</v>
      </c>
      <c r="J68" s="17" t="str">
        <f t="shared" ref="J68:J105" si="4">C68</f>
        <v>WizardWrx_Libs\SharedUtl2\SharedUtl2_Test_Harness\SharedUtl2_Test_Harness</v>
      </c>
    </row>
    <row r="69" spans="1:10" x14ac:dyDescent="0.25">
      <c r="A69" s="10" t="s">
        <v>65</v>
      </c>
      <c r="B69" s="10" t="s">
        <v>124</v>
      </c>
      <c r="C69" s="10" t="s">
        <v>125</v>
      </c>
      <c r="D69" s="10" t="s">
        <v>127</v>
      </c>
      <c r="E69" s="13">
        <v>144</v>
      </c>
      <c r="F69" s="13" t="b">
        <f t="shared" si="3"/>
        <v>0</v>
      </c>
      <c r="G69" s="13"/>
      <c r="H69" s="13"/>
      <c r="I69" s="11" t="s">
        <v>17</v>
      </c>
      <c r="J69" s="17" t="str">
        <f t="shared" si="4"/>
        <v>WizardWrx_Libs\SharedUtl2\SharedUtl2_Test_Harness\SharedUtl2_Test_Harness</v>
      </c>
    </row>
    <row r="70" spans="1:10" x14ac:dyDescent="0.25">
      <c r="A70" s="10" t="s">
        <v>66</v>
      </c>
      <c r="B70" s="10" t="s">
        <v>128</v>
      </c>
      <c r="C70" s="10" t="s">
        <v>129</v>
      </c>
      <c r="D70" s="10" t="s">
        <v>89</v>
      </c>
      <c r="E70" s="13">
        <v>222</v>
      </c>
      <c r="F70" s="13" t="b">
        <f t="shared" si="3"/>
        <v>0</v>
      </c>
      <c r="G70" s="13"/>
      <c r="H70" s="13"/>
      <c r="I70" s="11" t="s">
        <v>17</v>
      </c>
      <c r="J70" s="17" t="str">
        <f t="shared" si="4"/>
        <v>WizardWrx_Libs\SharedUtl2\WWDelimitedTextReader\WWDelimitedTextReader</v>
      </c>
    </row>
    <row r="71" spans="1:10" x14ac:dyDescent="0.25">
      <c r="A71" s="10" t="s">
        <v>67</v>
      </c>
      <c r="B71" s="10" t="s">
        <v>130</v>
      </c>
      <c r="C71" s="10" t="s">
        <v>131</v>
      </c>
      <c r="D71" s="10" t="s">
        <v>89</v>
      </c>
      <c r="E71" s="13">
        <v>262</v>
      </c>
      <c r="F71" s="13" t="b">
        <f t="shared" si="3"/>
        <v>0</v>
      </c>
      <c r="G71" s="13"/>
      <c r="H71" s="13"/>
      <c r="I71" s="11" t="s">
        <v>68</v>
      </c>
      <c r="J71" s="17" t="str">
        <f t="shared" si="4"/>
        <v>WizardWrx_Libs\WebApp\WebAppLibTestHarness\WebAppLibTestHarness</v>
      </c>
    </row>
    <row r="72" spans="1:10" x14ac:dyDescent="0.25">
      <c r="A72" s="10" t="s">
        <v>69</v>
      </c>
      <c r="B72" s="10" t="s">
        <v>132</v>
      </c>
      <c r="C72" s="10" t="s">
        <v>133</v>
      </c>
      <c r="D72" s="10" t="s">
        <v>89</v>
      </c>
      <c r="E72" s="13">
        <v>91</v>
      </c>
      <c r="F72" s="13" t="b">
        <f t="shared" si="3"/>
        <v>0</v>
      </c>
      <c r="G72" s="13"/>
      <c r="H72" s="13"/>
      <c r="I72" s="11" t="s">
        <v>17</v>
      </c>
      <c r="J72" s="17" t="str">
        <f t="shared" si="4"/>
        <v>WizardWrx_Libs\WWDate2FN\WWDate2FNTestStand</v>
      </c>
    </row>
    <row r="73" spans="1:10" x14ac:dyDescent="0.25">
      <c r="A73" s="10" t="s">
        <v>70</v>
      </c>
      <c r="B73" s="10" t="s">
        <v>134</v>
      </c>
      <c r="C73" s="10" t="s">
        <v>135</v>
      </c>
      <c r="D73" s="10" t="s">
        <v>89</v>
      </c>
      <c r="E73" s="13">
        <v>211</v>
      </c>
      <c r="F73" s="13" t="b">
        <f t="shared" si="3"/>
        <v>0</v>
      </c>
      <c r="G73" s="13"/>
      <c r="H73" s="13"/>
      <c r="I73" s="11" t="s">
        <v>30</v>
      </c>
      <c r="J73" s="17" t="str">
        <f t="shared" si="4"/>
        <v>_Laboratory\_MyPlayPen\_MyPlayPen</v>
      </c>
    </row>
    <row r="74" spans="1:10" x14ac:dyDescent="0.25">
      <c r="A74" s="10" t="s">
        <v>70</v>
      </c>
      <c r="B74" s="10" t="s">
        <v>134</v>
      </c>
      <c r="C74" s="10" t="s">
        <v>135</v>
      </c>
      <c r="D74" s="10" t="s">
        <v>89</v>
      </c>
      <c r="E74" s="13">
        <v>385</v>
      </c>
      <c r="F74" s="13" t="b">
        <f t="shared" si="3"/>
        <v>0</v>
      </c>
      <c r="G74" s="13"/>
      <c r="H74" s="13"/>
      <c r="I74" s="11" t="s">
        <v>15</v>
      </c>
      <c r="J74" s="17" t="str">
        <f t="shared" si="4"/>
        <v>_Laboratory\_MyPlayPen\_MyPlayPen</v>
      </c>
    </row>
    <row r="75" spans="1:10" x14ac:dyDescent="0.25">
      <c r="A75" s="10" t="s">
        <v>70</v>
      </c>
      <c r="B75" s="10" t="s">
        <v>134</v>
      </c>
      <c r="C75" s="10" t="s">
        <v>135</v>
      </c>
      <c r="D75" s="10" t="s">
        <v>89</v>
      </c>
      <c r="E75" s="13">
        <v>415</v>
      </c>
      <c r="F75" s="13" t="b">
        <f t="shared" si="3"/>
        <v>0</v>
      </c>
      <c r="G75" s="13"/>
      <c r="H75" s="13"/>
      <c r="I75" s="11" t="s">
        <v>15</v>
      </c>
      <c r="J75" s="17" t="str">
        <f t="shared" si="4"/>
        <v>_Laboratory\_MyPlayPen\_MyPlayPen</v>
      </c>
    </row>
    <row r="76" spans="1:10" x14ac:dyDescent="0.25">
      <c r="A76" s="10" t="s">
        <v>71</v>
      </c>
      <c r="B76" s="10" t="s">
        <v>136</v>
      </c>
      <c r="C76" s="10" t="s">
        <v>137</v>
      </c>
      <c r="D76" s="10" t="s">
        <v>120</v>
      </c>
      <c r="E76" s="13">
        <v>16</v>
      </c>
      <c r="F76" s="13" t="b">
        <f t="shared" si="3"/>
        <v>0</v>
      </c>
      <c r="G76" s="13"/>
      <c r="H76" s="13"/>
      <c r="I76" s="11" t="s">
        <v>72</v>
      </c>
      <c r="J76" s="17" t="str">
        <f t="shared" si="4"/>
        <v>_TESTING WizardWrx Libs\SharedUtl2\SharedUtl2</v>
      </c>
    </row>
    <row r="77" spans="1:10" x14ac:dyDescent="0.25">
      <c r="A77" s="10" t="s">
        <v>71</v>
      </c>
      <c r="B77" s="10" t="s">
        <v>136</v>
      </c>
      <c r="C77" s="10" t="s">
        <v>137</v>
      </c>
      <c r="D77" s="10" t="s">
        <v>120</v>
      </c>
      <c r="E77" s="13">
        <v>18</v>
      </c>
      <c r="F77" s="13" t="b">
        <f t="shared" si="3"/>
        <v>0</v>
      </c>
      <c r="G77" s="13"/>
      <c r="H77" s="13"/>
      <c r="I77" s="11" t="s">
        <v>73</v>
      </c>
      <c r="J77" s="17" t="str">
        <f t="shared" si="4"/>
        <v>_TESTING WizardWrx Libs\SharedUtl2\SharedUtl2</v>
      </c>
    </row>
    <row r="78" spans="1:10" x14ac:dyDescent="0.25">
      <c r="A78" s="10" t="s">
        <v>71</v>
      </c>
      <c r="B78" s="10" t="s">
        <v>136</v>
      </c>
      <c r="C78" s="10" t="s">
        <v>137</v>
      </c>
      <c r="D78" s="10" t="s">
        <v>120</v>
      </c>
      <c r="E78" s="13">
        <v>23</v>
      </c>
      <c r="F78" s="13" t="b">
        <f t="shared" si="3"/>
        <v>0</v>
      </c>
      <c r="G78" s="13"/>
      <c r="H78" s="13"/>
      <c r="I78" s="11" t="s">
        <v>74</v>
      </c>
      <c r="J78" s="17" t="str">
        <f t="shared" si="4"/>
        <v>_TESTING WizardWrx Libs\SharedUtl2\SharedUtl2</v>
      </c>
    </row>
    <row r="79" spans="1:10" x14ac:dyDescent="0.25">
      <c r="A79" s="10" t="s">
        <v>71</v>
      </c>
      <c r="B79" s="10" t="s">
        <v>136</v>
      </c>
      <c r="C79" s="10" t="s">
        <v>137</v>
      </c>
      <c r="D79" s="10" t="s">
        <v>120</v>
      </c>
      <c r="E79" s="13">
        <v>118</v>
      </c>
      <c r="F79" s="13" t="b">
        <f t="shared" si="3"/>
        <v>0</v>
      </c>
      <c r="G79" s="13"/>
      <c r="H79" s="13"/>
      <c r="I79" s="11" t="s">
        <v>75</v>
      </c>
      <c r="J79" s="17" t="str">
        <f t="shared" si="4"/>
        <v>_TESTING WizardWrx Libs\SharedUtl2\SharedUtl2</v>
      </c>
    </row>
    <row r="80" spans="1:10" x14ac:dyDescent="0.25">
      <c r="A80" s="10" t="s">
        <v>71</v>
      </c>
      <c r="B80" s="10" t="s">
        <v>136</v>
      </c>
      <c r="C80" s="10" t="s">
        <v>137</v>
      </c>
      <c r="D80" s="10" t="s">
        <v>120</v>
      </c>
      <c r="E80" s="13">
        <v>534</v>
      </c>
      <c r="F80" s="13" t="b">
        <f t="shared" si="3"/>
        <v>0</v>
      </c>
      <c r="G80" s="13"/>
      <c r="H80" s="13"/>
      <c r="I80" s="11" t="s">
        <v>76</v>
      </c>
      <c r="J80" s="17" t="str">
        <f t="shared" si="4"/>
        <v>_TESTING WizardWrx Libs\SharedUtl2\SharedUtl2</v>
      </c>
    </row>
    <row r="81" spans="1:10" x14ac:dyDescent="0.25">
      <c r="A81" s="10" t="s">
        <v>77</v>
      </c>
      <c r="B81" s="10" t="s">
        <v>136</v>
      </c>
      <c r="C81" s="10" t="s">
        <v>137</v>
      </c>
      <c r="D81" s="10" t="s">
        <v>121</v>
      </c>
      <c r="E81" s="13">
        <v>66</v>
      </c>
      <c r="F81" s="13" t="b">
        <f t="shared" si="3"/>
        <v>0</v>
      </c>
      <c r="G81" s="13"/>
      <c r="H81" s="13"/>
      <c r="I81" s="11" t="s">
        <v>59</v>
      </c>
      <c r="J81" s="17" t="str">
        <f t="shared" si="4"/>
        <v>_TESTING WizardWrx Libs\SharedUtl2\SharedUtl2</v>
      </c>
    </row>
    <row r="82" spans="1:10" x14ac:dyDescent="0.25">
      <c r="A82" s="10" t="s">
        <v>78</v>
      </c>
      <c r="B82" s="10" t="s">
        <v>138</v>
      </c>
      <c r="C82" s="10" t="s">
        <v>139</v>
      </c>
      <c r="D82" s="10" t="s">
        <v>89</v>
      </c>
      <c r="E82" s="13">
        <v>896</v>
      </c>
      <c r="F82" s="13" t="b">
        <f t="shared" si="3"/>
        <v>0</v>
      </c>
      <c r="G82" s="13"/>
      <c r="H82" s="13"/>
      <c r="I82" s="11" t="s">
        <v>61</v>
      </c>
      <c r="J82" s="17" t="str">
        <f t="shared" si="4"/>
        <v>_TESTING WizardWrx Libs\SharedUtl2\SharedUtl2_Mutex_Tester</v>
      </c>
    </row>
    <row r="83" spans="1:10" x14ac:dyDescent="0.25">
      <c r="A83" s="10" t="s">
        <v>78</v>
      </c>
      <c r="B83" s="10" t="s">
        <v>138</v>
      </c>
      <c r="C83" s="10" t="s">
        <v>139</v>
      </c>
      <c r="D83" s="10" t="s">
        <v>89</v>
      </c>
      <c r="E83" s="13">
        <v>908</v>
      </c>
      <c r="F83" s="13" t="b">
        <f t="shared" si="3"/>
        <v>0</v>
      </c>
      <c r="G83" s="13"/>
      <c r="H83" s="13"/>
      <c r="I83" s="11" t="s">
        <v>17</v>
      </c>
      <c r="J83" s="17" t="str">
        <f t="shared" si="4"/>
        <v>_TESTING WizardWrx Libs\SharedUtl2\SharedUtl2_Mutex_Tester</v>
      </c>
    </row>
    <row r="84" spans="1:10" x14ac:dyDescent="0.25">
      <c r="A84" s="10" t="s">
        <v>79</v>
      </c>
      <c r="B84" s="10" t="s">
        <v>140</v>
      </c>
      <c r="C84" s="10" t="s">
        <v>141</v>
      </c>
      <c r="D84" s="10" t="s">
        <v>126</v>
      </c>
      <c r="E84" s="13">
        <v>100</v>
      </c>
      <c r="F84" s="13" t="b">
        <f t="shared" si="3"/>
        <v>0</v>
      </c>
      <c r="G84" s="13"/>
      <c r="H84" s="13"/>
      <c r="I84" s="11" t="s">
        <v>30</v>
      </c>
      <c r="J84" s="17" t="str">
        <f t="shared" si="4"/>
        <v>_TESTING WizardWrx Libs\SharedUtl2\SharedUtl2_Test_Harness\SharedUtl2_Test_Harness</v>
      </c>
    </row>
    <row r="85" spans="1:10" x14ac:dyDescent="0.25">
      <c r="A85" s="10" t="s">
        <v>79</v>
      </c>
      <c r="B85" s="10" t="s">
        <v>140</v>
      </c>
      <c r="C85" s="10" t="s">
        <v>141</v>
      </c>
      <c r="D85" s="10" t="s">
        <v>126</v>
      </c>
      <c r="E85" s="13">
        <v>106</v>
      </c>
      <c r="F85" s="13" t="b">
        <f t="shared" si="3"/>
        <v>0</v>
      </c>
      <c r="G85" s="13"/>
      <c r="H85" s="13"/>
      <c r="I85" s="11" t="s">
        <v>30</v>
      </c>
      <c r="J85" s="17" t="str">
        <f t="shared" si="4"/>
        <v>_TESTING WizardWrx Libs\SharedUtl2\SharedUtl2_Test_Harness\SharedUtl2_Test_Harness</v>
      </c>
    </row>
    <row r="86" spans="1:10" x14ac:dyDescent="0.25">
      <c r="A86" s="10" t="s">
        <v>79</v>
      </c>
      <c r="B86" s="10" t="s">
        <v>140</v>
      </c>
      <c r="C86" s="10" t="s">
        <v>141</v>
      </c>
      <c r="D86" s="10" t="s">
        <v>126</v>
      </c>
      <c r="E86" s="13">
        <v>112</v>
      </c>
      <c r="F86" s="13" t="b">
        <f t="shared" si="3"/>
        <v>0</v>
      </c>
      <c r="G86" s="13"/>
      <c r="H86" s="13"/>
      <c r="I86" s="11" t="s">
        <v>30</v>
      </c>
      <c r="J86" s="17" t="str">
        <f t="shared" si="4"/>
        <v>_TESTING WizardWrx Libs\SharedUtl2\SharedUtl2_Test_Harness\SharedUtl2_Test_Harness</v>
      </c>
    </row>
    <row r="87" spans="1:10" x14ac:dyDescent="0.25">
      <c r="A87" s="10" t="s">
        <v>79</v>
      </c>
      <c r="B87" s="10" t="s">
        <v>140</v>
      </c>
      <c r="C87" s="10" t="s">
        <v>141</v>
      </c>
      <c r="D87" s="10" t="s">
        <v>126</v>
      </c>
      <c r="E87" s="13">
        <v>118</v>
      </c>
      <c r="F87" s="13" t="b">
        <f t="shared" si="3"/>
        <v>0</v>
      </c>
      <c r="G87" s="13"/>
      <c r="H87" s="13"/>
      <c r="I87" s="11" t="s">
        <v>30</v>
      </c>
      <c r="J87" s="17" t="str">
        <f t="shared" si="4"/>
        <v>_TESTING WizardWrx Libs\SharedUtl2\SharedUtl2_Test_Harness\SharedUtl2_Test_Harness</v>
      </c>
    </row>
    <row r="88" spans="1:10" x14ac:dyDescent="0.25">
      <c r="A88" s="10" t="s">
        <v>79</v>
      </c>
      <c r="B88" s="10" t="s">
        <v>140</v>
      </c>
      <c r="C88" s="10" t="s">
        <v>141</v>
      </c>
      <c r="D88" s="10" t="s">
        <v>126</v>
      </c>
      <c r="E88" s="13">
        <v>153</v>
      </c>
      <c r="F88" s="13" t="b">
        <f t="shared" si="3"/>
        <v>0</v>
      </c>
      <c r="G88" s="13"/>
      <c r="H88" s="13"/>
      <c r="I88" s="11" t="s">
        <v>30</v>
      </c>
      <c r="J88" s="17" t="str">
        <f t="shared" si="4"/>
        <v>_TESTING WizardWrx Libs\SharedUtl2\SharedUtl2_Test_Harness\SharedUtl2_Test_Harness</v>
      </c>
    </row>
    <row r="89" spans="1:10" x14ac:dyDescent="0.25">
      <c r="A89" s="10" t="s">
        <v>79</v>
      </c>
      <c r="B89" s="10" t="s">
        <v>140</v>
      </c>
      <c r="C89" s="10" t="s">
        <v>141</v>
      </c>
      <c r="D89" s="10" t="s">
        <v>126</v>
      </c>
      <c r="E89" s="13">
        <v>159</v>
      </c>
      <c r="F89" s="13" t="b">
        <f t="shared" si="3"/>
        <v>0</v>
      </c>
      <c r="G89" s="13"/>
      <c r="H89" s="13"/>
      <c r="I89" s="11" t="s">
        <v>30</v>
      </c>
      <c r="J89" s="17" t="str">
        <f t="shared" si="4"/>
        <v>_TESTING WizardWrx Libs\SharedUtl2\SharedUtl2_Test_Harness\SharedUtl2_Test_Harness</v>
      </c>
    </row>
    <row r="90" spans="1:10" x14ac:dyDescent="0.25">
      <c r="A90" s="10" t="s">
        <v>79</v>
      </c>
      <c r="B90" s="10" t="s">
        <v>140</v>
      </c>
      <c r="C90" s="10" t="s">
        <v>141</v>
      </c>
      <c r="D90" s="10" t="s">
        <v>126</v>
      </c>
      <c r="E90" s="13">
        <v>165</v>
      </c>
      <c r="F90" s="13" t="b">
        <f t="shared" si="3"/>
        <v>0</v>
      </c>
      <c r="G90" s="13"/>
      <c r="H90" s="13"/>
      <c r="I90" s="11" t="s">
        <v>30</v>
      </c>
      <c r="J90" s="17" t="str">
        <f t="shared" si="4"/>
        <v>_TESTING WizardWrx Libs\SharedUtl2\SharedUtl2_Test_Harness\SharedUtl2_Test_Harness</v>
      </c>
    </row>
    <row r="91" spans="1:10" x14ac:dyDescent="0.25">
      <c r="A91" s="10" t="s">
        <v>79</v>
      </c>
      <c r="B91" s="10" t="s">
        <v>140</v>
      </c>
      <c r="C91" s="10" t="s">
        <v>141</v>
      </c>
      <c r="D91" s="10" t="s">
        <v>126</v>
      </c>
      <c r="E91" s="13">
        <v>171</v>
      </c>
      <c r="F91" s="13" t="b">
        <f t="shared" si="3"/>
        <v>0</v>
      </c>
      <c r="G91" s="13"/>
      <c r="H91" s="13"/>
      <c r="I91" s="11" t="s">
        <v>30</v>
      </c>
      <c r="J91" s="17" t="str">
        <f t="shared" si="4"/>
        <v>_TESTING WizardWrx Libs\SharedUtl2\SharedUtl2_Test_Harness\SharedUtl2_Test_Harness</v>
      </c>
    </row>
    <row r="92" spans="1:10" x14ac:dyDescent="0.25">
      <c r="A92" s="10" t="s">
        <v>79</v>
      </c>
      <c r="B92" s="10" t="s">
        <v>140</v>
      </c>
      <c r="C92" s="10" t="s">
        <v>141</v>
      </c>
      <c r="D92" s="10" t="s">
        <v>126</v>
      </c>
      <c r="E92" s="13">
        <v>206</v>
      </c>
      <c r="F92" s="13" t="b">
        <f t="shared" si="3"/>
        <v>0</v>
      </c>
      <c r="G92" s="13"/>
      <c r="H92" s="13"/>
      <c r="I92" s="11" t="s">
        <v>30</v>
      </c>
      <c r="J92" s="17" t="str">
        <f t="shared" si="4"/>
        <v>_TESTING WizardWrx Libs\SharedUtl2\SharedUtl2_Test_Harness\SharedUtl2_Test_Harness</v>
      </c>
    </row>
    <row r="93" spans="1:10" x14ac:dyDescent="0.25">
      <c r="A93" s="10" t="s">
        <v>79</v>
      </c>
      <c r="B93" s="10" t="s">
        <v>140</v>
      </c>
      <c r="C93" s="10" t="s">
        <v>141</v>
      </c>
      <c r="D93" s="10" t="s">
        <v>126</v>
      </c>
      <c r="E93" s="13">
        <v>212</v>
      </c>
      <c r="F93" s="13" t="b">
        <f t="shared" si="3"/>
        <v>0</v>
      </c>
      <c r="G93" s="13"/>
      <c r="H93" s="13"/>
      <c r="I93" s="11" t="s">
        <v>30</v>
      </c>
      <c r="J93" s="17" t="str">
        <f t="shared" si="4"/>
        <v>_TESTING WizardWrx Libs\SharedUtl2\SharedUtl2_Test_Harness\SharedUtl2_Test_Harness</v>
      </c>
    </row>
    <row r="94" spans="1:10" x14ac:dyDescent="0.25">
      <c r="A94" s="10" t="s">
        <v>79</v>
      </c>
      <c r="B94" s="10" t="s">
        <v>140</v>
      </c>
      <c r="C94" s="10" t="s">
        <v>141</v>
      </c>
      <c r="D94" s="10" t="s">
        <v>126</v>
      </c>
      <c r="E94" s="13">
        <v>218</v>
      </c>
      <c r="F94" s="13" t="b">
        <f t="shared" si="3"/>
        <v>0</v>
      </c>
      <c r="G94" s="13"/>
      <c r="H94" s="13"/>
      <c r="I94" s="11" t="s">
        <v>30</v>
      </c>
      <c r="J94" s="17" t="str">
        <f t="shared" si="4"/>
        <v>_TESTING WizardWrx Libs\SharedUtl2\SharedUtl2_Test_Harness\SharedUtl2_Test_Harness</v>
      </c>
    </row>
    <row r="95" spans="1:10" x14ac:dyDescent="0.25">
      <c r="A95" s="10" t="s">
        <v>79</v>
      </c>
      <c r="B95" s="10" t="s">
        <v>140</v>
      </c>
      <c r="C95" s="10" t="s">
        <v>141</v>
      </c>
      <c r="D95" s="10" t="s">
        <v>126</v>
      </c>
      <c r="E95" s="13">
        <v>224</v>
      </c>
      <c r="F95" s="13" t="b">
        <f t="shared" si="3"/>
        <v>0</v>
      </c>
      <c r="G95" s="13"/>
      <c r="H95" s="13"/>
      <c r="I95" s="11" t="s">
        <v>30</v>
      </c>
      <c r="J95" s="17" t="str">
        <f t="shared" si="4"/>
        <v>_TESTING WizardWrx Libs\SharedUtl2\SharedUtl2_Test_Harness\SharedUtl2_Test_Harness</v>
      </c>
    </row>
    <row r="96" spans="1:10" x14ac:dyDescent="0.25">
      <c r="A96" s="10" t="s">
        <v>79</v>
      </c>
      <c r="B96" s="10" t="s">
        <v>140</v>
      </c>
      <c r="C96" s="10" t="s">
        <v>141</v>
      </c>
      <c r="D96" s="10" t="s">
        <v>126</v>
      </c>
      <c r="E96" s="13">
        <v>297</v>
      </c>
      <c r="F96" s="13" t="b">
        <f t="shared" si="3"/>
        <v>0</v>
      </c>
      <c r="G96" s="13"/>
      <c r="H96" s="13"/>
      <c r="I96" s="11" t="s">
        <v>30</v>
      </c>
      <c r="J96" s="17" t="str">
        <f t="shared" si="4"/>
        <v>_TESTING WizardWrx Libs\SharedUtl2\SharedUtl2_Test_Harness\SharedUtl2_Test_Harness</v>
      </c>
    </row>
    <row r="97" spans="1:10" x14ac:dyDescent="0.25">
      <c r="A97" s="10" t="s">
        <v>79</v>
      </c>
      <c r="B97" s="10" t="s">
        <v>140</v>
      </c>
      <c r="C97" s="10" t="s">
        <v>141</v>
      </c>
      <c r="D97" s="10" t="s">
        <v>126</v>
      </c>
      <c r="E97" s="13">
        <v>303</v>
      </c>
      <c r="F97" s="13" t="b">
        <f t="shared" si="3"/>
        <v>0</v>
      </c>
      <c r="G97" s="13"/>
      <c r="H97" s="13"/>
      <c r="I97" s="11" t="s">
        <v>30</v>
      </c>
      <c r="J97" s="17" t="str">
        <f t="shared" si="4"/>
        <v>_TESTING WizardWrx Libs\SharedUtl2\SharedUtl2_Test_Harness\SharedUtl2_Test_Harness</v>
      </c>
    </row>
    <row r="98" spans="1:10" x14ac:dyDescent="0.25">
      <c r="A98" s="10" t="s">
        <v>79</v>
      </c>
      <c r="B98" s="10" t="s">
        <v>140</v>
      </c>
      <c r="C98" s="10" t="s">
        <v>141</v>
      </c>
      <c r="D98" s="10" t="s">
        <v>126</v>
      </c>
      <c r="E98" s="13">
        <v>309</v>
      </c>
      <c r="F98" s="13" t="b">
        <f t="shared" si="3"/>
        <v>0</v>
      </c>
      <c r="G98" s="13"/>
      <c r="H98" s="13"/>
      <c r="I98" s="11" t="s">
        <v>30</v>
      </c>
      <c r="J98" s="17" t="str">
        <f t="shared" si="4"/>
        <v>_TESTING WizardWrx Libs\SharedUtl2\SharedUtl2_Test_Harness\SharedUtl2_Test_Harness</v>
      </c>
    </row>
    <row r="99" spans="1:10" x14ac:dyDescent="0.25">
      <c r="A99" s="10" t="s">
        <v>79</v>
      </c>
      <c r="B99" s="10" t="s">
        <v>140</v>
      </c>
      <c r="C99" s="10" t="s">
        <v>141</v>
      </c>
      <c r="D99" s="10" t="s">
        <v>126</v>
      </c>
      <c r="E99" s="13">
        <v>315</v>
      </c>
      <c r="F99" s="13" t="b">
        <f t="shared" si="3"/>
        <v>0</v>
      </c>
      <c r="G99" s="13"/>
      <c r="H99" s="13"/>
      <c r="I99" s="11" t="s">
        <v>30</v>
      </c>
      <c r="J99" s="17" t="str">
        <f t="shared" si="4"/>
        <v>_TESTING WizardWrx Libs\SharedUtl2\SharedUtl2_Test_Harness\SharedUtl2_Test_Harness</v>
      </c>
    </row>
    <row r="100" spans="1:10" x14ac:dyDescent="0.25">
      <c r="A100" s="10" t="s">
        <v>80</v>
      </c>
      <c r="B100" s="10" t="s">
        <v>140</v>
      </c>
      <c r="C100" s="10" t="s">
        <v>141</v>
      </c>
      <c r="D100" s="10" t="s">
        <v>127</v>
      </c>
      <c r="E100" s="13">
        <v>83</v>
      </c>
      <c r="F100" s="13" t="b">
        <f t="shared" si="3"/>
        <v>0</v>
      </c>
      <c r="G100" s="13"/>
      <c r="H100" s="13"/>
      <c r="I100" s="11" t="s">
        <v>17</v>
      </c>
      <c r="J100" s="17" t="str">
        <f t="shared" si="4"/>
        <v>_TESTING WizardWrx Libs\SharedUtl2\SharedUtl2_Test_Harness\SharedUtl2_Test_Harness</v>
      </c>
    </row>
    <row r="101" spans="1:10" x14ac:dyDescent="0.25">
      <c r="A101" s="10" t="s">
        <v>80</v>
      </c>
      <c r="B101" s="10" t="s">
        <v>140</v>
      </c>
      <c r="C101" s="10" t="s">
        <v>141</v>
      </c>
      <c r="D101" s="10" t="s">
        <v>127</v>
      </c>
      <c r="E101" s="13">
        <v>89</v>
      </c>
      <c r="F101" s="13" t="b">
        <f t="shared" si="3"/>
        <v>0</v>
      </c>
      <c r="G101" s="13"/>
      <c r="H101" s="13"/>
      <c r="I101" s="11" t="s">
        <v>17</v>
      </c>
      <c r="J101" s="17" t="str">
        <f t="shared" si="4"/>
        <v>_TESTING WizardWrx Libs\SharedUtl2\SharedUtl2_Test_Harness\SharedUtl2_Test_Harness</v>
      </c>
    </row>
    <row r="102" spans="1:10" x14ac:dyDescent="0.25">
      <c r="A102" s="10" t="s">
        <v>80</v>
      </c>
      <c r="B102" s="10" t="s">
        <v>140</v>
      </c>
      <c r="C102" s="10" t="s">
        <v>141</v>
      </c>
      <c r="D102" s="10" t="s">
        <v>127</v>
      </c>
      <c r="E102" s="13">
        <v>109</v>
      </c>
      <c r="F102" s="13" t="b">
        <f t="shared" si="3"/>
        <v>0</v>
      </c>
      <c r="G102" s="13"/>
      <c r="H102" s="13"/>
      <c r="I102" s="11" t="s">
        <v>17</v>
      </c>
      <c r="J102" s="17" t="str">
        <f t="shared" si="4"/>
        <v>_TESTING WizardWrx Libs\SharedUtl2\SharedUtl2_Test_Harness\SharedUtl2_Test_Harness</v>
      </c>
    </row>
    <row r="103" spans="1:10" x14ac:dyDescent="0.25">
      <c r="A103" s="10" t="s">
        <v>80</v>
      </c>
      <c r="B103" s="10" t="s">
        <v>140</v>
      </c>
      <c r="C103" s="10" t="s">
        <v>141</v>
      </c>
      <c r="D103" s="10" t="s">
        <v>127</v>
      </c>
      <c r="E103" s="13">
        <v>115</v>
      </c>
      <c r="F103" s="13" t="b">
        <f t="shared" si="3"/>
        <v>0</v>
      </c>
      <c r="G103" s="13"/>
      <c r="H103" s="13"/>
      <c r="I103" s="11" t="s">
        <v>17</v>
      </c>
      <c r="J103" s="17" t="str">
        <f t="shared" si="4"/>
        <v>_TESTING WizardWrx Libs\SharedUtl2\SharedUtl2_Test_Harness\SharedUtl2_Test_Harness</v>
      </c>
    </row>
    <row r="104" spans="1:10" x14ac:dyDescent="0.25">
      <c r="A104" s="10" t="s">
        <v>80</v>
      </c>
      <c r="B104" s="10" t="s">
        <v>140</v>
      </c>
      <c r="C104" s="10" t="s">
        <v>141</v>
      </c>
      <c r="D104" s="10" t="s">
        <v>127</v>
      </c>
      <c r="E104" s="13">
        <v>138</v>
      </c>
      <c r="F104" s="13" t="b">
        <f t="shared" si="3"/>
        <v>0</v>
      </c>
      <c r="G104" s="13"/>
      <c r="H104" s="13"/>
      <c r="I104" s="11" t="s">
        <v>17</v>
      </c>
      <c r="J104" s="17" t="str">
        <f t="shared" si="4"/>
        <v>_TESTING WizardWrx Libs\SharedUtl2\SharedUtl2_Test_Harness\SharedUtl2_Test_Harness</v>
      </c>
    </row>
    <row r="105" spans="1:10" x14ac:dyDescent="0.25">
      <c r="A105" s="10" t="s">
        <v>80</v>
      </c>
      <c r="B105" s="10" t="s">
        <v>140</v>
      </c>
      <c r="C105" s="10" t="s">
        <v>141</v>
      </c>
      <c r="D105" s="10" t="s">
        <v>127</v>
      </c>
      <c r="E105" s="13">
        <v>144</v>
      </c>
      <c r="F105" s="13" t="b">
        <f t="shared" si="3"/>
        <v>0</v>
      </c>
      <c r="G105" s="13"/>
      <c r="H105" s="13"/>
      <c r="I105" s="11" t="s">
        <v>17</v>
      </c>
      <c r="J105" s="17" t="str">
        <f t="shared" si="4"/>
        <v>_TESTING WizardWrx Libs\SharedUtl2\SharedUtl2_Test_Harness\SharedUtl2_Test_Harness</v>
      </c>
    </row>
  </sheetData>
  <conditionalFormatting sqref="A3:I3">
    <cfRule type="expression" dxfId="17" priority="10">
      <formula>$H3=TRUE</formula>
    </cfRule>
    <cfRule type="expression" dxfId="16" priority="11">
      <formula>$G3=TRUE</formula>
    </cfRule>
    <cfRule type="expression" dxfId="15" priority="12">
      <formula>$F3=TRUE</formula>
    </cfRule>
  </conditionalFormatting>
  <conditionalFormatting sqref="A4:I105">
    <cfRule type="expression" dxfId="14" priority="7">
      <formula>$H4=TRUE</formula>
    </cfRule>
    <cfRule type="expression" dxfId="13" priority="8">
      <formula>$G4=TRUE</formula>
    </cfRule>
    <cfRule type="expression" dxfId="12" priority="9">
      <formula>$F4=TRUE</formula>
    </cfRule>
  </conditionalFormatting>
  <conditionalFormatting sqref="J3">
    <cfRule type="expression" dxfId="11" priority="4">
      <formula>$H3=TRUE</formula>
    </cfRule>
    <cfRule type="expression" dxfId="10" priority="5">
      <formula>$G3=TRUE</formula>
    </cfRule>
    <cfRule type="expression" dxfId="9" priority="6">
      <formula>$F3=TRUE</formula>
    </cfRule>
  </conditionalFormatting>
  <conditionalFormatting sqref="J4:J105">
    <cfRule type="expression" dxfId="8" priority="1">
      <formula>$H4=TRUE</formula>
    </cfRule>
    <cfRule type="expression" dxfId="7" priority="2">
      <formula>$G4=TRUE</formula>
    </cfRule>
    <cfRule type="expression" dxfId="6" priority="3">
      <formula>$F4=TRUE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J91"/>
  <sheetViews>
    <sheetView topLeftCell="J1" workbookViewId="0">
      <selection activeCell="J2" sqref="J2"/>
    </sheetView>
  </sheetViews>
  <sheetFormatPr defaultRowHeight="15" x14ac:dyDescent="0.25"/>
  <cols>
    <col min="1" max="1" width="186.25" bestFit="1" customWidth="1"/>
    <col min="2" max="2" width="158.375" bestFit="1" customWidth="1"/>
    <col min="3" max="3" width="85.125" bestFit="1" customWidth="1"/>
    <col min="4" max="4" width="32.5" bestFit="1" customWidth="1"/>
    <col min="5" max="5" width="5.375" bestFit="1" customWidth="1"/>
    <col min="6" max="6" width="12.75" bestFit="1" customWidth="1"/>
    <col min="7" max="7" width="9.625" bestFit="1" customWidth="1"/>
    <col min="8" max="8" width="6.625" bestFit="1" customWidth="1"/>
    <col min="9" max="9" width="92.375" bestFit="1" customWidth="1"/>
    <col min="10" max="10" width="57.25" bestFit="1" customWidth="1"/>
  </cols>
  <sheetData>
    <row r="1" spans="1:10" ht="15.75" x14ac:dyDescent="0.25">
      <c r="A1" s="6" t="s">
        <v>9</v>
      </c>
      <c r="B1" s="6" t="s">
        <v>81</v>
      </c>
      <c r="C1" s="6" t="s">
        <v>84</v>
      </c>
      <c r="D1" s="6" t="s">
        <v>85</v>
      </c>
      <c r="E1" s="6" t="s">
        <v>10</v>
      </c>
      <c r="F1" s="6" t="s">
        <v>142</v>
      </c>
      <c r="G1" s="6" t="s">
        <v>143</v>
      </c>
      <c r="H1" s="6" t="s">
        <v>144</v>
      </c>
      <c r="I1" s="7" t="s">
        <v>11</v>
      </c>
      <c r="J1" s="14" t="s">
        <v>145</v>
      </c>
    </row>
    <row r="2" spans="1:10" x14ac:dyDescent="0.25">
      <c r="A2" s="8" t="s">
        <v>12</v>
      </c>
      <c r="B2" s="8" t="str">
        <f>[1]!GetFolder(A2)</f>
        <v>C:\Documents and Settings\DAG\My Documents\Visual Studio 2010\Projects\Console_Apps\EZSMTPMM\EZSMTPMM</v>
      </c>
      <c r="C2" s="8" t="str">
        <f>IF(LEN(B2)&gt;LEN(Visual_Studio_Source_Code),RIGHT(B2,LEN(B2)-LEN([1]!AddBackslash(Visual_Studio_Source_Code))),B2)</f>
        <v>Console_Apps\EZSMTPMM\EZSMTPMM</v>
      </c>
      <c r="D2" s="8" t="str">
        <f>[1]!GetFile(A2)</f>
        <v>MailMergeEngine.cs</v>
      </c>
      <c r="E2" s="12">
        <v>218</v>
      </c>
      <c r="F2" s="12" t="b">
        <f>NOT(ISERROR(FIND("ThreadSafeExceptionReporting",$I2)))</f>
        <v>1</v>
      </c>
      <c r="G2" s="12"/>
      <c r="H2" s="12"/>
      <c r="I2" s="9" t="s">
        <v>13</v>
      </c>
      <c r="J2" s="15" t="str">
        <f>C2</f>
        <v>Console_Apps\EZSMTPMM\EZSMTPMM</v>
      </c>
    </row>
    <row r="3" spans="1:10" x14ac:dyDescent="0.25">
      <c r="A3" s="10" t="s">
        <v>12</v>
      </c>
      <c r="B3" s="10" t="str">
        <f>[1]!GetFolder(A3)</f>
        <v>C:\Documents and Settings\DAG\My Documents\Visual Studio 2010\Projects\Console_Apps\EZSMTPMM\EZSMTPMM</v>
      </c>
      <c r="C3" s="10" t="str">
        <f>IF(LEN(B3)&gt;LEN(Visual_Studio_Source_Code),RIGHT(B3,LEN(B3)-LEN([1]!AddBackslash(Visual_Studio_Source_Code))),B3)</f>
        <v>Console_Apps\EZSMTPMM\EZSMTPMM</v>
      </c>
      <c r="D3" s="10" t="str">
        <f>[1]!GetFile(A3)</f>
        <v>MailMergeEngine.cs</v>
      </c>
      <c r="E3" s="13">
        <v>354</v>
      </c>
      <c r="F3" s="13" t="b">
        <f t="shared" ref="F3:F66" si="0">NOT(ISERROR(FIND("ThreadSafeExceptionReporting",$I3)))</f>
        <v>1</v>
      </c>
      <c r="G3" s="13"/>
      <c r="H3" s="13"/>
      <c r="I3" s="11" t="s">
        <v>13</v>
      </c>
      <c r="J3" s="16" t="str">
        <f t="shared" ref="J3:J66" si="1">C3</f>
        <v>Console_Apps\EZSMTPMM\EZSMTPMM</v>
      </c>
    </row>
    <row r="4" spans="1:10" x14ac:dyDescent="0.25">
      <c r="A4" s="10" t="s">
        <v>14</v>
      </c>
      <c r="B4" s="10" t="str">
        <f>[1]!GetFolder(A4)</f>
        <v>C:\Documents and Settings\DAG\My Documents\Visual Studio 2010\Projects\Console_Apps\EZSMTPMM\EZSMTPMM</v>
      </c>
      <c r="C4" s="10" t="str">
        <f>IF(LEN(B4)&gt;LEN(Visual_Studio_Source_Code),RIGHT(B4,LEN(B4)-LEN([1]!AddBackslash(Visual_Studio_Source_Code))),B4)</f>
        <v>Console_Apps\EZSMTPMM\EZSMTPMM</v>
      </c>
      <c r="D4" s="10" t="str">
        <f>[1]!GetFile(A4)</f>
        <v>Program.cs</v>
      </c>
      <c r="E4" s="13">
        <v>91</v>
      </c>
      <c r="F4" s="13" t="b">
        <f t="shared" si="0"/>
        <v>1</v>
      </c>
      <c r="G4" s="13"/>
      <c r="H4" s="13"/>
      <c r="I4" s="11" t="s">
        <v>13</v>
      </c>
      <c r="J4" s="16" t="str">
        <f t="shared" si="1"/>
        <v>Console_Apps\EZSMTPMM\EZSMTPMM</v>
      </c>
    </row>
    <row r="5" spans="1:10" x14ac:dyDescent="0.25">
      <c r="A5" s="10" t="s">
        <v>14</v>
      </c>
      <c r="B5" s="10" t="str">
        <f>[1]!GetFolder(A5)</f>
        <v>C:\Documents and Settings\DAG\My Documents\Visual Studio 2010\Projects\Console_Apps\EZSMTPMM\EZSMTPMM</v>
      </c>
      <c r="C5" s="10" t="str">
        <f>IF(LEN(B5)&gt;LEN(Visual_Studio_Source_Code),RIGHT(B5,LEN(B5)-LEN([1]!AddBackslash(Visual_Studio_Source_Code))),B5)</f>
        <v>Console_Apps\EZSMTPMM\EZSMTPMM</v>
      </c>
      <c r="D5" s="10" t="str">
        <f>[1]!GetFile(A5)</f>
        <v>Program.cs</v>
      </c>
      <c r="E5" s="13">
        <v>168</v>
      </c>
      <c r="F5" s="13" t="b">
        <f t="shared" si="0"/>
        <v>1</v>
      </c>
      <c r="G5" s="13"/>
      <c r="H5" s="13"/>
      <c r="I5" s="11" t="s">
        <v>15</v>
      </c>
      <c r="J5" s="16" t="str">
        <f t="shared" si="1"/>
        <v>Console_Apps\EZSMTPMM\EZSMTPMM</v>
      </c>
    </row>
    <row r="6" spans="1:10" x14ac:dyDescent="0.25">
      <c r="A6" s="10" t="s">
        <v>16</v>
      </c>
      <c r="B6" s="10" t="str">
        <f>[1]!GetFolder(A6)</f>
        <v>C:\Documents and Settings\DAG\My Documents\Visual Studio 2010\Projects\Console_Apps\MultiCat\MultiCat</v>
      </c>
      <c r="C6" s="10" t="str">
        <f>IF(LEN(B6)&gt;LEN(Visual_Studio_Source_Code),RIGHT(B6,LEN(B6)-LEN([1]!AddBackslash(Visual_Studio_Source_Code))),B6)</f>
        <v>Console_Apps\MultiCat\MultiCat</v>
      </c>
      <c r="D6" s="10" t="str">
        <f>[1]!GetFile(A6)</f>
        <v>Program.cs</v>
      </c>
      <c r="E6" s="13">
        <v>151</v>
      </c>
      <c r="F6" s="13" t="b">
        <f t="shared" si="0"/>
        <v>1</v>
      </c>
      <c r="G6" s="13"/>
      <c r="H6" s="13"/>
      <c r="I6" s="11" t="s">
        <v>17</v>
      </c>
      <c r="J6" s="16" t="str">
        <f t="shared" si="1"/>
        <v>Console_Apps\MultiCat\MultiCat</v>
      </c>
    </row>
    <row r="7" spans="1:10" x14ac:dyDescent="0.25">
      <c r="A7" s="10" t="s">
        <v>16</v>
      </c>
      <c r="B7" s="10" t="str">
        <f>[1]!GetFolder(A7)</f>
        <v>C:\Documents and Settings\DAG\My Documents\Visual Studio 2010\Projects\Console_Apps\MultiCat\MultiCat</v>
      </c>
      <c r="C7" s="10" t="str">
        <f>IF(LEN(B7)&gt;LEN(Visual_Studio_Source_Code),RIGHT(B7,LEN(B7)-LEN([1]!AddBackslash(Visual_Studio_Source_Code))),B7)</f>
        <v>Console_Apps\MultiCat\MultiCat</v>
      </c>
      <c r="D7" s="10" t="str">
        <f>[1]!GetFile(A7)</f>
        <v>Program.cs</v>
      </c>
      <c r="E7" s="13">
        <v>216</v>
      </c>
      <c r="F7" s="13" t="b">
        <f t="shared" si="0"/>
        <v>1</v>
      </c>
      <c r="G7" s="13"/>
      <c r="H7" s="13"/>
      <c r="I7" s="11" t="s">
        <v>17</v>
      </c>
      <c r="J7" s="16" t="str">
        <f t="shared" si="1"/>
        <v>Console_Apps\MultiCat\MultiCat</v>
      </c>
    </row>
    <row r="8" spans="1:10" x14ac:dyDescent="0.25">
      <c r="A8" s="10" t="s">
        <v>16</v>
      </c>
      <c r="B8" s="10" t="str">
        <f>[1]!GetFolder(A8)</f>
        <v>C:\Documents and Settings\DAG\My Documents\Visual Studio 2010\Projects\Console_Apps\MultiCat\MultiCat</v>
      </c>
      <c r="C8" s="10" t="str">
        <f>IF(LEN(B8)&gt;LEN(Visual_Studio_Source_Code),RIGHT(B8,LEN(B8)-LEN([1]!AddBackslash(Visual_Studio_Source_Code))),B8)</f>
        <v>Console_Apps\MultiCat\MultiCat</v>
      </c>
      <c r="D8" s="10" t="str">
        <f>[1]!GetFile(A8)</f>
        <v>Program.cs</v>
      </c>
      <c r="E8" s="13">
        <v>320</v>
      </c>
      <c r="F8" s="13" t="b">
        <f t="shared" si="0"/>
        <v>1</v>
      </c>
      <c r="G8" s="13"/>
      <c r="H8" s="13"/>
      <c r="I8" s="11" t="s">
        <v>17</v>
      </c>
      <c r="J8" s="16" t="str">
        <f t="shared" si="1"/>
        <v>Console_Apps\MultiCat\MultiCat</v>
      </c>
    </row>
    <row r="9" spans="1:10" x14ac:dyDescent="0.25">
      <c r="A9" s="10" t="s">
        <v>18</v>
      </c>
      <c r="B9" s="10" t="str">
        <f>[1]!GetFolder(A9)</f>
        <v>C:\Documents and Settings\DAG\My Documents\Visual Studio 2010\Projects\Console_Apps\STAMPLOG\STAMPLOG</v>
      </c>
      <c r="C9" s="10" t="str">
        <f>IF(LEN(B9)&gt;LEN(Visual_Studio_Source_Code),RIGHT(B9,LEN(B9)-LEN([1]!AddBackslash(Visual_Studio_Source_Code))),B9)</f>
        <v>Console_Apps\STAMPLOG\STAMPLOG</v>
      </c>
      <c r="D9" s="10" t="str">
        <f>[1]!GetFile(A9)</f>
        <v>Program.cs</v>
      </c>
      <c r="E9" s="13">
        <v>109</v>
      </c>
      <c r="F9" s="13" t="b">
        <f t="shared" si="0"/>
        <v>1</v>
      </c>
      <c r="G9" s="13"/>
      <c r="H9" s="13"/>
      <c r="I9" s="11" t="s">
        <v>17</v>
      </c>
      <c r="J9" s="16" t="str">
        <f t="shared" si="1"/>
        <v>Console_Apps\STAMPLOG\STAMPLOG</v>
      </c>
    </row>
    <row r="10" spans="1:10" x14ac:dyDescent="0.25">
      <c r="A10" s="10" t="s">
        <v>18</v>
      </c>
      <c r="B10" s="10" t="str">
        <f>[1]!GetFolder(A10)</f>
        <v>C:\Documents and Settings\DAG\My Documents\Visual Studio 2010\Projects\Console_Apps\STAMPLOG\STAMPLOG</v>
      </c>
      <c r="C10" s="10" t="str">
        <f>IF(LEN(B10)&gt;LEN(Visual_Studio_Source_Code),RIGHT(B10,LEN(B10)-LEN([1]!AddBackslash(Visual_Studio_Source_Code))),B10)</f>
        <v>Console_Apps\STAMPLOG\STAMPLOG</v>
      </c>
      <c r="D10" s="10" t="str">
        <f>[1]!GetFile(A10)</f>
        <v>Program.cs</v>
      </c>
      <c r="E10" s="13">
        <v>170</v>
      </c>
      <c r="F10" s="13" t="b">
        <f t="shared" si="0"/>
        <v>1</v>
      </c>
      <c r="G10" s="13"/>
      <c r="H10" s="13"/>
      <c r="I10" s="11" t="s">
        <v>19</v>
      </c>
      <c r="J10" s="16" t="str">
        <f t="shared" si="1"/>
        <v>Console_Apps\STAMPLOG\STAMPLOG</v>
      </c>
    </row>
    <row r="11" spans="1:10" x14ac:dyDescent="0.25">
      <c r="A11" s="10" t="s">
        <v>18</v>
      </c>
      <c r="B11" s="10" t="str">
        <f>[1]!GetFolder(A11)</f>
        <v>C:\Documents and Settings\DAG\My Documents\Visual Studio 2010\Projects\Console_Apps\STAMPLOG\STAMPLOG</v>
      </c>
      <c r="C11" s="10" t="str">
        <f>IF(LEN(B11)&gt;LEN(Visual_Studio_Source_Code),RIGHT(B11,LEN(B11)-LEN([1]!AddBackslash(Visual_Studio_Source_Code))),B11)</f>
        <v>Console_Apps\STAMPLOG\STAMPLOG</v>
      </c>
      <c r="D11" s="10" t="str">
        <f>[1]!GetFile(A11)</f>
        <v>Program.cs</v>
      </c>
      <c r="E11" s="13">
        <v>180</v>
      </c>
      <c r="F11" s="13" t="b">
        <f t="shared" si="0"/>
        <v>1</v>
      </c>
      <c r="G11" s="13"/>
      <c r="H11" s="13"/>
      <c r="I11" s="11" t="s">
        <v>15</v>
      </c>
      <c r="J11" s="16" t="str">
        <f t="shared" si="1"/>
        <v>Console_Apps\STAMPLOG\STAMPLOG</v>
      </c>
    </row>
    <row r="12" spans="1:10" x14ac:dyDescent="0.25">
      <c r="A12" s="10" t="s">
        <v>18</v>
      </c>
      <c r="B12" s="10" t="str">
        <f>[1]!GetFolder(A12)</f>
        <v>C:\Documents and Settings\DAG\My Documents\Visual Studio 2010\Projects\Console_Apps\STAMPLOG\STAMPLOG</v>
      </c>
      <c r="C12" s="10" t="str">
        <f>IF(LEN(B12)&gt;LEN(Visual_Studio_Source_Code),RIGHT(B12,LEN(B12)-LEN([1]!AddBackslash(Visual_Studio_Source_Code))),B12)</f>
        <v>Console_Apps\STAMPLOG\STAMPLOG</v>
      </c>
      <c r="D12" s="10" t="str">
        <f>[1]!GetFile(A12)</f>
        <v>Program.cs</v>
      </c>
      <c r="E12" s="13">
        <v>348</v>
      </c>
      <c r="F12" s="13" t="b">
        <f t="shared" si="0"/>
        <v>1</v>
      </c>
      <c r="G12" s="13"/>
      <c r="H12" s="13"/>
      <c r="I12" s="11" t="s">
        <v>13</v>
      </c>
      <c r="J12" s="16" t="str">
        <f t="shared" si="1"/>
        <v>Console_Apps\STAMPLOG\STAMPLOG</v>
      </c>
    </row>
    <row r="13" spans="1:10" x14ac:dyDescent="0.25">
      <c r="A13" s="10" t="s">
        <v>20</v>
      </c>
      <c r="B13" s="10" t="str">
        <f>[1]!GetFolder(A13)</f>
        <v>C:\Documents and Settings\DAG\My Documents\Visual Studio 2010\Projects\Console_Apps\WWRegStrToLocalEnv\WWRegStrToLocalEnv</v>
      </c>
      <c r="C13" s="10" t="str">
        <f>IF(LEN(B13)&gt;LEN(Visual_Studio_Source_Code),RIGHT(B13,LEN(B13)-LEN([1]!AddBackslash(Visual_Studio_Source_Code))),B13)</f>
        <v>Console_Apps\WWRegStrToLocalEnv\WWRegStrToLocalEnv</v>
      </c>
      <c r="D13" s="10" t="str">
        <f>[1]!GetFile(A13)</f>
        <v>Program.cs</v>
      </c>
      <c r="E13" s="13">
        <v>215</v>
      </c>
      <c r="F13" s="13" t="b">
        <f t="shared" si="0"/>
        <v>1</v>
      </c>
      <c r="G13" s="13"/>
      <c r="H13" s="13"/>
      <c r="I13" s="11" t="s">
        <v>17</v>
      </c>
      <c r="J13" s="16" t="str">
        <f t="shared" si="1"/>
        <v>Console_Apps\WWRegStrToLocalEnv\WWRegStrToLocalEnv</v>
      </c>
    </row>
    <row r="14" spans="1:10" x14ac:dyDescent="0.25">
      <c r="A14" s="10" t="s">
        <v>21</v>
      </c>
      <c r="B14" s="10" t="str">
        <f>[1]!GetFolder(A14)</f>
        <v>C:\Documents and Settings\DAG\My Documents\Visual Studio 2010\Projects\NOLANB\EZXFERCloudReporter\EZXFERCloudReporter</v>
      </c>
      <c r="C14" s="10" t="str">
        <f>IF(LEN(B14)&gt;LEN(Visual_Studio_Source_Code),RIGHT(B14,LEN(B14)-LEN([1]!AddBackslash(Visual_Studio_Source_Code))),B14)</f>
        <v>NOLANB\EZXFERCloudReporter\EZXFERCloudReporter</v>
      </c>
      <c r="D14" s="10" t="str">
        <f>[1]!GetFile(A14)</f>
        <v>Program.cs</v>
      </c>
      <c r="E14" s="13">
        <v>135</v>
      </c>
      <c r="F14" s="13" t="b">
        <f t="shared" si="0"/>
        <v>1</v>
      </c>
      <c r="G14" s="13"/>
      <c r="H14" s="13"/>
      <c r="I14" s="11" t="s">
        <v>17</v>
      </c>
      <c r="J14" s="16" t="str">
        <f t="shared" si="1"/>
        <v>NOLANB\EZXFERCloudReporter\EZXFERCloudReporter</v>
      </c>
    </row>
    <row r="15" spans="1:10" x14ac:dyDescent="0.25">
      <c r="A15" s="10" t="s">
        <v>22</v>
      </c>
      <c r="B15" s="10" t="str">
        <f>[1]!GetFolder(A15)</f>
        <v>C:\Documents and Settings\DAG\My Documents\Visual Studio 2010\Projects\NOLANB\EZXFER_Cloud_Manager\EZXFER_Cloud_Manager</v>
      </c>
      <c r="C15" s="10" t="str">
        <f>IF(LEN(B15)&gt;LEN(Visual_Studio_Source_Code),RIGHT(B15,LEN(B15)-LEN([1]!AddBackslash(Visual_Studio_Source_Code))),B15)</f>
        <v>NOLANB\EZXFER_Cloud_Manager\EZXFER_Cloud_Manager</v>
      </c>
      <c r="D15" s="10" t="str">
        <f>[1]!GetFile(A15)</f>
        <v>OperatingSettings.cs</v>
      </c>
      <c r="E15" s="13">
        <v>200</v>
      </c>
      <c r="F15" s="13" t="b">
        <f t="shared" si="0"/>
        <v>1</v>
      </c>
      <c r="G15" s="13"/>
      <c r="H15" s="13"/>
      <c r="I15" s="11" t="s">
        <v>17</v>
      </c>
      <c r="J15" s="16" t="str">
        <f t="shared" si="1"/>
        <v>NOLANB\EZXFER_Cloud_Manager\EZXFER_Cloud_Manager</v>
      </c>
    </row>
    <row r="16" spans="1:10" x14ac:dyDescent="0.25">
      <c r="A16" s="10" t="s">
        <v>22</v>
      </c>
      <c r="B16" s="10" t="str">
        <f>[1]!GetFolder(A16)</f>
        <v>C:\Documents and Settings\DAG\My Documents\Visual Studio 2010\Projects\NOLANB\EZXFER_Cloud_Manager\EZXFER_Cloud_Manager</v>
      </c>
      <c r="C16" s="10" t="str">
        <f>IF(LEN(B16)&gt;LEN(Visual_Studio_Source_Code),RIGHT(B16,LEN(B16)-LEN([1]!AddBackslash(Visual_Studio_Source_Code))),B16)</f>
        <v>NOLANB\EZXFER_Cloud_Manager\EZXFER_Cloud_Manager</v>
      </c>
      <c r="D16" s="10" t="str">
        <f>[1]!GetFile(A16)</f>
        <v>OperatingSettings.cs</v>
      </c>
      <c r="E16" s="13">
        <v>435</v>
      </c>
      <c r="F16" s="13" t="b">
        <f t="shared" si="0"/>
        <v>1</v>
      </c>
      <c r="G16" s="13"/>
      <c r="H16" s="13"/>
      <c r="I16" s="11" t="s">
        <v>17</v>
      </c>
      <c r="J16" s="16" t="str">
        <f t="shared" si="1"/>
        <v>NOLANB\EZXFER_Cloud_Manager\EZXFER_Cloud_Manager</v>
      </c>
    </row>
    <row r="17" spans="1:10" x14ac:dyDescent="0.25">
      <c r="A17" s="10" t="s">
        <v>23</v>
      </c>
      <c r="B17" s="10" t="str">
        <f>[1]!GetFolder(A17)</f>
        <v>C:\Documents and Settings\DAG\My Documents\Visual Studio 2010\Projects\NOLANB\EZXFER_Cloud_Manager\EZXFER_Cloud_Manager</v>
      </c>
      <c r="C17" s="10" t="str">
        <f>IF(LEN(B17)&gt;LEN(Visual_Studio_Source_Code),RIGHT(B17,LEN(B17)-LEN([1]!AddBackslash(Visual_Studio_Source_Code))),B17)</f>
        <v>NOLANB\EZXFER_Cloud_Manager\EZXFER_Cloud_Manager</v>
      </c>
      <c r="D17" s="10" t="str">
        <f>[1]!GetFile(A17)</f>
        <v>Program.cs</v>
      </c>
      <c r="E17" s="13">
        <v>150</v>
      </c>
      <c r="F17" s="13" t="b">
        <f t="shared" si="0"/>
        <v>1</v>
      </c>
      <c r="G17" s="13"/>
      <c r="H17" s="13"/>
      <c r="I17" s="11" t="s">
        <v>17</v>
      </c>
      <c r="J17" s="16" t="str">
        <f t="shared" si="1"/>
        <v>NOLANB\EZXFER_Cloud_Manager\EZXFER_Cloud_Manager</v>
      </c>
    </row>
    <row r="18" spans="1:10" x14ac:dyDescent="0.25">
      <c r="A18" s="10" t="s">
        <v>24</v>
      </c>
      <c r="B18" s="10" t="str">
        <f>[1]!GetFolder(A18)</f>
        <v>C:\Documents and Settings\DAG\My Documents\Visual Studio 2010\Projects\NOLANB\NBGetRC\NBGetRC</v>
      </c>
      <c r="C18" s="10" t="str">
        <f>IF(LEN(B18)&gt;LEN(Visual_Studio_Source_Code),RIGHT(B18,LEN(B18)-LEN([1]!AddBackslash(Visual_Studio_Source_Code))),B18)</f>
        <v>NOLANB\NBGetRC\NBGetRC</v>
      </c>
      <c r="D18" s="10" t="str">
        <f>[1]!GetFile(A18)</f>
        <v>Program.cs</v>
      </c>
      <c r="E18" s="13">
        <v>281</v>
      </c>
      <c r="F18" s="13" t="b">
        <f t="shared" si="0"/>
        <v>1</v>
      </c>
      <c r="G18" s="13"/>
      <c r="H18" s="13"/>
      <c r="I18" s="11" t="s">
        <v>25</v>
      </c>
      <c r="J18" s="16" t="str">
        <f t="shared" si="1"/>
        <v>NOLANB\NBGetRC\NBGetRC</v>
      </c>
    </row>
    <row r="19" spans="1:10" x14ac:dyDescent="0.25">
      <c r="A19" s="10" t="s">
        <v>29</v>
      </c>
      <c r="B19" s="10" t="str">
        <f>[1]!GetFolder(A19)</f>
        <v>C:\Documents and Settings\DAG\My Documents\Visual Studio 2010\Projects\Tools_for_Programmers\AssemblyReferenceFixup\AssemblyReferenceFixup</v>
      </c>
      <c r="C19" s="10" t="str">
        <f>IF(LEN(B19)&gt;LEN(Visual_Studio_Source_Code),RIGHT(B19,LEN(B19)-LEN([1]!AddBackslash(Visual_Studio_Source_Code))),B19)</f>
        <v>Tools_for_Programmers\AssemblyReferenceFixup\AssemblyReferenceFixup</v>
      </c>
      <c r="D19" s="10" t="str">
        <f>[1]!GetFile(A19)</f>
        <v>Program.cs</v>
      </c>
      <c r="E19" s="13">
        <v>167</v>
      </c>
      <c r="F19" s="13" t="b">
        <f t="shared" si="0"/>
        <v>1</v>
      </c>
      <c r="G19" s="13"/>
      <c r="H19" s="13"/>
      <c r="I19" s="11" t="s">
        <v>30</v>
      </c>
      <c r="J19" s="16" t="str">
        <f t="shared" si="1"/>
        <v>Tools_for_Programmers\AssemblyReferenceFixup\AssemblyReferenceFixup</v>
      </c>
    </row>
    <row r="20" spans="1:10" x14ac:dyDescent="0.25">
      <c r="A20" s="10" t="s">
        <v>31</v>
      </c>
      <c r="B20" s="10" t="str">
        <f>[1]!GetFolder(A20)</f>
        <v>C:\Documents and Settings\DAG\My Documents\Visual Studio 2010\Projects\WizardWrx_Libs\ApplicationHelpers\ApplicationHelpers</v>
      </c>
      <c r="C20" s="10" t="str">
        <f>IF(LEN(B20)&gt;LEN(Visual_Studio_Source_Code),RIGHT(B20,LEN(B20)-LEN([1]!AddBackslash(Visual_Studio_Source_Code))),B20)</f>
        <v>WizardWrx_Libs\ApplicationHelpers\ApplicationHelpers</v>
      </c>
      <c r="D20" s="10" t="str">
        <f>[1]!GetFile(A20)</f>
        <v>ExceptionLogger.cs</v>
      </c>
      <c r="E20" s="13">
        <v>12</v>
      </c>
      <c r="F20" s="13" t="b">
        <f t="shared" si="0"/>
        <v>1</v>
      </c>
      <c r="G20" s="13"/>
      <c r="H20" s="13"/>
      <c r="I20" s="11" t="s">
        <v>32</v>
      </c>
      <c r="J20" s="16" t="str">
        <f t="shared" si="1"/>
        <v>WizardWrx_Libs\ApplicationHelpers\ApplicationHelpers</v>
      </c>
    </row>
    <row r="21" spans="1:10" x14ac:dyDescent="0.25">
      <c r="A21" s="10" t="s">
        <v>31</v>
      </c>
      <c r="B21" s="10" t="str">
        <f>[1]!GetFolder(A21)</f>
        <v>C:\Documents and Settings\DAG\My Documents\Visual Studio 2010\Projects\WizardWrx_Libs\ApplicationHelpers\ApplicationHelpers</v>
      </c>
      <c r="C21" s="10" t="str">
        <f>IF(LEN(B21)&gt;LEN(Visual_Studio_Source_Code),RIGHT(B21,LEN(B21)-LEN([1]!AddBackslash(Visual_Studio_Source_Code))),B21)</f>
        <v>WizardWrx_Libs\ApplicationHelpers\ApplicationHelpers</v>
      </c>
      <c r="D21" s="10" t="str">
        <f>[1]!GetFile(A21)</f>
        <v>ExceptionLogger.cs</v>
      </c>
      <c r="E21" s="13">
        <v>69</v>
      </c>
      <c r="F21" s="13" t="b">
        <f t="shared" si="0"/>
        <v>1</v>
      </c>
      <c r="G21" s="13"/>
      <c r="H21" s="13"/>
      <c r="I21" s="11" t="s">
        <v>33</v>
      </c>
      <c r="J21" s="16" t="str">
        <f t="shared" si="1"/>
        <v>WizardWrx_Libs\ApplicationHelpers\ApplicationHelpers</v>
      </c>
    </row>
    <row r="22" spans="1:10" x14ac:dyDescent="0.25">
      <c r="A22" s="10" t="s">
        <v>34</v>
      </c>
      <c r="B22" s="10" t="str">
        <f>[1]!GetFolder(A22)</f>
        <v>C:\Documents and Settings\DAG\My Documents\Visual Studio 2010\Projects\WizardWrx_Libs\ConsoleAppAids\ConsoleAppAids</v>
      </c>
      <c r="C22" s="10" t="str">
        <f>IF(LEN(B22)&gt;LEN(Visual_Studio_Source_Code),RIGHT(B22,LEN(B22)-LEN([1]!AddBackslash(Visual_Studio_Source_Code))),B22)</f>
        <v>WizardWrx_Libs\ConsoleAppAids\ConsoleAppAids</v>
      </c>
      <c r="D22" s="10" t="str">
        <f>[1]!GetFile(A22)</f>
        <v>ExceptionReporting.cs</v>
      </c>
      <c r="E22" s="13">
        <v>12</v>
      </c>
      <c r="F22" s="13" t="b">
        <f t="shared" si="0"/>
        <v>1</v>
      </c>
      <c r="G22" s="13"/>
      <c r="H22" s="13"/>
      <c r="I22" s="11" t="s">
        <v>38</v>
      </c>
      <c r="J22" s="16" t="str">
        <f t="shared" si="1"/>
        <v>WizardWrx_Libs\ConsoleAppAids\ConsoleAppAids</v>
      </c>
    </row>
    <row r="23" spans="1:10" x14ac:dyDescent="0.25">
      <c r="A23" s="10" t="s">
        <v>34</v>
      </c>
      <c r="B23" s="10" t="str">
        <f>[1]!GetFolder(A23)</f>
        <v>C:\Documents and Settings\DAG\My Documents\Visual Studio 2010\Projects\WizardWrx_Libs\ConsoleAppAids\ConsoleAppAids</v>
      </c>
      <c r="C23" s="10" t="str">
        <f>IF(LEN(B23)&gt;LEN(Visual_Studio_Source_Code),RIGHT(B23,LEN(B23)-LEN([1]!AddBackslash(Visual_Studio_Source_Code))),B23)</f>
        <v>WizardWrx_Libs\ConsoleAppAids\ConsoleAppAids</v>
      </c>
      <c r="D23" s="10" t="str">
        <f>[1]!GetFile(A23)</f>
        <v>ExceptionReporting.cs</v>
      </c>
      <c r="E23" s="13">
        <v>89</v>
      </c>
      <c r="F23" s="13" t="b">
        <f t="shared" si="0"/>
        <v>1</v>
      </c>
      <c r="G23" s="13"/>
      <c r="H23" s="13"/>
      <c r="I23" s="11" t="s">
        <v>39</v>
      </c>
      <c r="J23" s="16" t="str">
        <f t="shared" si="1"/>
        <v>WizardWrx_Libs\ConsoleAppAids\ConsoleAppAids</v>
      </c>
    </row>
    <row r="24" spans="1:10" x14ac:dyDescent="0.25">
      <c r="A24" s="10" t="s">
        <v>51</v>
      </c>
      <c r="B24" s="10" t="str">
        <f>[1]!GetFolder(A24)</f>
        <v>C:\Documents and Settings\DAG\My Documents\Visual Studio 2010\Projects\WizardWrx_Libs\CSV_Parsing\LumenWorks_vs_DDR\LumenWorks_vs_DDR</v>
      </c>
      <c r="C24" s="10" t="str">
        <f>IF(LEN(B24)&gt;LEN(Visual_Studio_Source_Code),RIGHT(B24,LEN(B24)-LEN([1]!AddBackslash(Visual_Studio_Source_Code))),B24)</f>
        <v>WizardWrx_Libs\CSV_Parsing\LumenWorks_vs_DDR\LumenWorks_vs_DDR</v>
      </c>
      <c r="D24" s="10" t="str">
        <f>[1]!GetFile(A24)</f>
        <v>Program.cs</v>
      </c>
      <c r="E24" s="13">
        <v>110</v>
      </c>
      <c r="F24" s="13" t="b">
        <f t="shared" si="0"/>
        <v>1</v>
      </c>
      <c r="G24" s="13"/>
      <c r="H24" s="13"/>
      <c r="I24" s="11" t="s">
        <v>17</v>
      </c>
      <c r="J24" s="16" t="str">
        <f t="shared" si="1"/>
        <v>WizardWrx_Libs\CSV_Parsing\LumenWorks_vs_DDR\LumenWorks_vs_DDR</v>
      </c>
    </row>
    <row r="25" spans="1:10" x14ac:dyDescent="0.25">
      <c r="A25" s="18" t="s">
        <v>52</v>
      </c>
      <c r="B25" s="18" t="str">
        <f>[1]!GetFolder(A25)</f>
        <v>C:\Documents and Settings\DAG\My Documents\Visual Studio 2010\Projects\WizardWrx_Libs\SharedUtl2\SharedUtl2</v>
      </c>
      <c r="C25" s="18" t="str">
        <f>IF(LEN(B25)&gt;LEN(Visual_Studio_Source_Code),RIGHT(B25,LEN(B25)-LEN([1]!AddBackslash(Visual_Studio_Source_Code))),B25)</f>
        <v>WizardWrx_Libs\SharedUtl2\SharedUtl2</v>
      </c>
      <c r="D25" s="18" t="str">
        <f>[1]!GetFile(A25)</f>
        <v>ThreadSafeExceptionReporting.cs</v>
      </c>
      <c r="E25" s="19">
        <v>16</v>
      </c>
      <c r="F25" s="19" t="b">
        <f t="shared" si="0"/>
        <v>1</v>
      </c>
      <c r="G25" s="19"/>
      <c r="H25" s="19"/>
      <c r="I25" s="20" t="s">
        <v>53</v>
      </c>
      <c r="J25" s="21" t="str">
        <f t="shared" si="1"/>
        <v>WizardWrx_Libs\SharedUtl2\SharedUtl2</v>
      </c>
    </row>
    <row r="26" spans="1:10" x14ac:dyDescent="0.25">
      <c r="A26" s="18" t="s">
        <v>52</v>
      </c>
      <c r="B26" s="18" t="str">
        <f>[1]!GetFolder(A26)</f>
        <v>C:\Documents and Settings\DAG\My Documents\Visual Studio 2010\Projects\WizardWrx_Libs\SharedUtl2\SharedUtl2</v>
      </c>
      <c r="C26" s="18" t="str">
        <f>IF(LEN(B26)&gt;LEN(Visual_Studio_Source_Code),RIGHT(B26,LEN(B26)-LEN([1]!AddBackslash(Visual_Studio_Source_Code))),B26)</f>
        <v>WizardWrx_Libs\SharedUtl2\SharedUtl2</v>
      </c>
      <c r="D26" s="18" t="str">
        <f>[1]!GetFile(A26)</f>
        <v>ThreadSafeExceptionReporting.cs</v>
      </c>
      <c r="E26" s="19">
        <v>18</v>
      </c>
      <c r="F26" s="19" t="b">
        <f t="shared" si="0"/>
        <v>1</v>
      </c>
      <c r="G26" s="19"/>
      <c r="H26" s="19"/>
      <c r="I26" s="20" t="s">
        <v>54</v>
      </c>
      <c r="J26" s="21" t="str">
        <f t="shared" si="1"/>
        <v>WizardWrx_Libs\SharedUtl2\SharedUtl2</v>
      </c>
    </row>
    <row r="27" spans="1:10" x14ac:dyDescent="0.25">
      <c r="A27" s="18" t="s">
        <v>52</v>
      </c>
      <c r="B27" s="18" t="str">
        <f>[1]!GetFolder(A27)</f>
        <v>C:\Documents and Settings\DAG\My Documents\Visual Studio 2010\Projects\WizardWrx_Libs\SharedUtl2\SharedUtl2</v>
      </c>
      <c r="C27" s="18" t="str">
        <f>IF(LEN(B27)&gt;LEN(Visual_Studio_Source_Code),RIGHT(B27,LEN(B27)-LEN([1]!AddBackslash(Visual_Studio_Source_Code))),B27)</f>
        <v>WizardWrx_Libs\SharedUtl2\SharedUtl2</v>
      </c>
      <c r="D27" s="18" t="str">
        <f>[1]!GetFile(A27)</f>
        <v>ThreadSafeExceptionReporting.cs</v>
      </c>
      <c r="E27" s="19">
        <v>23</v>
      </c>
      <c r="F27" s="19" t="b">
        <f t="shared" si="0"/>
        <v>1</v>
      </c>
      <c r="G27" s="19"/>
      <c r="H27" s="19"/>
      <c r="I27" s="20" t="s">
        <v>55</v>
      </c>
      <c r="J27" s="21" t="str">
        <f t="shared" si="1"/>
        <v>WizardWrx_Libs\SharedUtl2\SharedUtl2</v>
      </c>
    </row>
    <row r="28" spans="1:10" x14ac:dyDescent="0.25">
      <c r="A28" s="18" t="s">
        <v>52</v>
      </c>
      <c r="B28" s="18" t="str">
        <f>[1]!GetFolder(A28)</f>
        <v>C:\Documents and Settings\DAG\My Documents\Visual Studio 2010\Projects\WizardWrx_Libs\SharedUtl2\SharedUtl2</v>
      </c>
      <c r="C28" s="18" t="str">
        <f>IF(LEN(B28)&gt;LEN(Visual_Studio_Source_Code),RIGHT(B28,LEN(B28)-LEN([1]!AddBackslash(Visual_Studio_Source_Code))),B28)</f>
        <v>WizardWrx_Libs\SharedUtl2\SharedUtl2</v>
      </c>
      <c r="D28" s="18" t="str">
        <f>[1]!GetFile(A28)</f>
        <v>ThreadSafeExceptionReporting.cs</v>
      </c>
      <c r="E28" s="19">
        <v>124</v>
      </c>
      <c r="F28" s="19" t="b">
        <f t="shared" si="0"/>
        <v>1</v>
      </c>
      <c r="G28" s="19"/>
      <c r="H28" s="19"/>
      <c r="I28" s="20" t="s">
        <v>56</v>
      </c>
      <c r="J28" s="21" t="str">
        <f t="shared" si="1"/>
        <v>WizardWrx_Libs\SharedUtl2\SharedUtl2</v>
      </c>
    </row>
    <row r="29" spans="1:10" x14ac:dyDescent="0.25">
      <c r="A29" s="18" t="s">
        <v>52</v>
      </c>
      <c r="B29" s="18" t="str">
        <f>[1]!GetFolder(A29)</f>
        <v>C:\Documents and Settings\DAG\My Documents\Visual Studio 2010\Projects\WizardWrx_Libs\SharedUtl2\SharedUtl2</v>
      </c>
      <c r="C29" s="18" t="str">
        <f>IF(LEN(B29)&gt;LEN(Visual_Studio_Source_Code),RIGHT(B29,LEN(B29)-LEN([1]!AddBackslash(Visual_Studio_Source_Code))),B29)</f>
        <v>WizardWrx_Libs\SharedUtl2\SharedUtl2</v>
      </c>
      <c r="D29" s="18" t="str">
        <f>[1]!GetFile(A29)</f>
        <v>ThreadSafeExceptionReporting.cs</v>
      </c>
      <c r="E29" s="19">
        <v>573</v>
      </c>
      <c r="F29" s="19" t="b">
        <f t="shared" si="0"/>
        <v>1</v>
      </c>
      <c r="G29" s="19"/>
      <c r="H29" s="19"/>
      <c r="I29" s="20" t="s">
        <v>57</v>
      </c>
      <c r="J29" s="21" t="str">
        <f t="shared" si="1"/>
        <v>WizardWrx_Libs\SharedUtl2\SharedUtl2</v>
      </c>
    </row>
    <row r="30" spans="1:10" x14ac:dyDescent="0.25">
      <c r="A30" s="10" t="s">
        <v>58</v>
      </c>
      <c r="B30" s="10" t="str">
        <f>[1]!GetFolder(A30)</f>
        <v>C:\Documents and Settings\DAG\My Documents\Visual Studio 2010\Projects\WizardWrx_Libs\SharedUtl2\SharedUtl2</v>
      </c>
      <c r="C30" s="10" t="str">
        <f>IF(LEN(B30)&gt;LEN(Visual_Studio_Source_Code),RIGHT(B30,LEN(B30)-LEN([1]!AddBackslash(Visual_Studio_Source_Code))),B30)</f>
        <v>WizardWrx_Libs\SharedUtl2\SharedUtl2</v>
      </c>
      <c r="D30" s="10" t="str">
        <f>[1]!GetFile(A30)</f>
        <v>SharedUtl2.csproj</v>
      </c>
      <c r="E30" s="13">
        <v>66</v>
      </c>
      <c r="F30" s="13" t="b">
        <f t="shared" si="0"/>
        <v>1</v>
      </c>
      <c r="G30" s="13"/>
      <c r="H30" s="13"/>
      <c r="I30" s="11" t="s">
        <v>59</v>
      </c>
      <c r="J30" s="16" t="str">
        <f t="shared" si="1"/>
        <v>WizardWrx_Libs\SharedUtl2\SharedUtl2</v>
      </c>
    </row>
    <row r="31" spans="1:10" x14ac:dyDescent="0.25">
      <c r="A31" s="10" t="s">
        <v>60</v>
      </c>
      <c r="B31" s="10" t="str">
        <f>[1]!GetFolder(A31)</f>
        <v>C:\Documents and Settings\DAG\My Documents\Visual Studio 2010\Projects\WizardWrx_Libs\SharedUtl2\SharedUtl2_Mutex_Tester</v>
      </c>
      <c r="C31" s="10" t="str">
        <f>IF(LEN(B31)&gt;LEN(Visual_Studio_Source_Code),RIGHT(B31,LEN(B31)-LEN([1]!AddBackslash(Visual_Studio_Source_Code))),B31)</f>
        <v>WizardWrx_Libs\SharedUtl2\SharedUtl2_Mutex_Tester</v>
      </c>
      <c r="D31" s="10" t="str">
        <f>[1]!GetFile(A31)</f>
        <v>Program.cs</v>
      </c>
      <c r="E31" s="13">
        <v>896</v>
      </c>
      <c r="F31" s="13" t="b">
        <f t="shared" si="0"/>
        <v>1</v>
      </c>
      <c r="G31" s="13"/>
      <c r="H31" s="13"/>
      <c r="I31" s="11" t="s">
        <v>61</v>
      </c>
      <c r="J31" s="16" t="str">
        <f t="shared" si="1"/>
        <v>WizardWrx_Libs\SharedUtl2\SharedUtl2_Mutex_Tester</v>
      </c>
    </row>
    <row r="32" spans="1:10" x14ac:dyDescent="0.25">
      <c r="A32" s="10" t="s">
        <v>60</v>
      </c>
      <c r="B32" s="10" t="str">
        <f>[1]!GetFolder(A32)</f>
        <v>C:\Documents and Settings\DAG\My Documents\Visual Studio 2010\Projects\WizardWrx_Libs\SharedUtl2\SharedUtl2_Mutex_Tester</v>
      </c>
      <c r="C32" s="10" t="str">
        <f>IF(LEN(B32)&gt;LEN(Visual_Studio_Source_Code),RIGHT(B32,LEN(B32)-LEN([1]!AddBackslash(Visual_Studio_Source_Code))),B32)</f>
        <v>WizardWrx_Libs\SharedUtl2\SharedUtl2_Mutex_Tester</v>
      </c>
      <c r="D32" s="10" t="str">
        <f>[1]!GetFile(A32)</f>
        <v>Program.cs</v>
      </c>
      <c r="E32" s="13">
        <v>908</v>
      </c>
      <c r="F32" s="13" t="b">
        <f t="shared" si="0"/>
        <v>1</v>
      </c>
      <c r="G32" s="13"/>
      <c r="H32" s="13"/>
      <c r="I32" s="11" t="s">
        <v>17</v>
      </c>
      <c r="J32" s="16" t="str">
        <f t="shared" si="1"/>
        <v>WizardWrx_Libs\SharedUtl2\SharedUtl2_Mutex_Tester</v>
      </c>
    </row>
    <row r="33" spans="1:10" x14ac:dyDescent="0.25">
      <c r="A33" s="10" t="s">
        <v>62</v>
      </c>
      <c r="B33" s="10" t="str">
        <f>[1]!GetFolder(A33)</f>
        <v>C:\Documents and Settings\DAG\My Documents\Visual Studio 2010\Projects\WizardWrx_Libs\SharedUtl2\SharedUtl2_Test_Harness\SharedUtl2_Test_Harness</v>
      </c>
      <c r="C33" s="10" t="str">
        <f>IF(LEN(B33)&gt;LEN(Visual_Studio_Source_Code),RIGHT(B33,LEN(B33)-LEN([1]!AddBackslash(Visual_Studio_Source_Code))),B33)</f>
        <v>WizardWrx_Libs\SharedUtl2\SharedUtl2_Test_Harness\SharedUtl2_Test_Harness</v>
      </c>
      <c r="D33" s="10" t="str">
        <f>[1]!GetFile(A33)</f>
        <v>HTMLDocsDivisonsWorkout.cs</v>
      </c>
      <c r="E33" s="13">
        <v>100</v>
      </c>
      <c r="F33" s="13" t="b">
        <f t="shared" si="0"/>
        <v>1</v>
      </c>
      <c r="G33" s="13"/>
      <c r="H33" s="13"/>
      <c r="I33" s="11" t="s">
        <v>30</v>
      </c>
      <c r="J33" s="16" t="str">
        <f t="shared" si="1"/>
        <v>WizardWrx_Libs\SharedUtl2\SharedUtl2_Test_Harness\SharedUtl2_Test_Harness</v>
      </c>
    </row>
    <row r="34" spans="1:10" x14ac:dyDescent="0.25">
      <c r="A34" s="10" t="s">
        <v>62</v>
      </c>
      <c r="B34" s="10" t="str">
        <f>[1]!GetFolder(A34)</f>
        <v>C:\Documents and Settings\DAG\My Documents\Visual Studio 2010\Projects\WizardWrx_Libs\SharedUtl2\SharedUtl2_Test_Harness\SharedUtl2_Test_Harness</v>
      </c>
      <c r="C34" s="10" t="str">
        <f>IF(LEN(B34)&gt;LEN(Visual_Studio_Source_Code),RIGHT(B34,LEN(B34)-LEN([1]!AddBackslash(Visual_Studio_Source_Code))),B34)</f>
        <v>WizardWrx_Libs\SharedUtl2\SharedUtl2_Test_Harness\SharedUtl2_Test_Harness</v>
      </c>
      <c r="D34" s="10" t="str">
        <f>[1]!GetFile(A34)</f>
        <v>HTMLDocsDivisonsWorkout.cs</v>
      </c>
      <c r="E34" s="13">
        <v>106</v>
      </c>
      <c r="F34" s="13" t="b">
        <f t="shared" si="0"/>
        <v>1</v>
      </c>
      <c r="G34" s="13"/>
      <c r="H34" s="13"/>
      <c r="I34" s="11" t="s">
        <v>30</v>
      </c>
      <c r="J34" s="16" t="str">
        <f t="shared" si="1"/>
        <v>WizardWrx_Libs\SharedUtl2\SharedUtl2_Test_Harness\SharedUtl2_Test_Harness</v>
      </c>
    </row>
    <row r="35" spans="1:10" x14ac:dyDescent="0.25">
      <c r="A35" s="10" t="s">
        <v>62</v>
      </c>
      <c r="B35" s="10" t="str">
        <f>[1]!GetFolder(A35)</f>
        <v>C:\Documents and Settings\DAG\My Documents\Visual Studio 2010\Projects\WizardWrx_Libs\SharedUtl2\SharedUtl2_Test_Harness\SharedUtl2_Test_Harness</v>
      </c>
      <c r="C35" s="10" t="str">
        <f>IF(LEN(B35)&gt;LEN(Visual_Studio_Source_Code),RIGHT(B35,LEN(B35)-LEN([1]!AddBackslash(Visual_Studio_Source_Code))),B35)</f>
        <v>WizardWrx_Libs\SharedUtl2\SharedUtl2_Test_Harness\SharedUtl2_Test_Harness</v>
      </c>
      <c r="D35" s="10" t="str">
        <f>[1]!GetFile(A35)</f>
        <v>HTMLDocsDivisonsWorkout.cs</v>
      </c>
      <c r="E35" s="13">
        <v>112</v>
      </c>
      <c r="F35" s="13" t="b">
        <f t="shared" si="0"/>
        <v>1</v>
      </c>
      <c r="G35" s="13"/>
      <c r="H35" s="13"/>
      <c r="I35" s="11" t="s">
        <v>30</v>
      </c>
      <c r="J35" s="16" t="str">
        <f t="shared" si="1"/>
        <v>WizardWrx_Libs\SharedUtl2\SharedUtl2_Test_Harness\SharedUtl2_Test_Harness</v>
      </c>
    </row>
    <row r="36" spans="1:10" x14ac:dyDescent="0.25">
      <c r="A36" s="10" t="s">
        <v>62</v>
      </c>
      <c r="B36" s="10" t="str">
        <f>[1]!GetFolder(A36)</f>
        <v>C:\Documents and Settings\DAG\My Documents\Visual Studio 2010\Projects\WizardWrx_Libs\SharedUtl2\SharedUtl2_Test_Harness\SharedUtl2_Test_Harness</v>
      </c>
      <c r="C36" s="10" t="str">
        <f>IF(LEN(B36)&gt;LEN(Visual_Studio_Source_Code),RIGHT(B36,LEN(B36)-LEN([1]!AddBackslash(Visual_Studio_Source_Code))),B36)</f>
        <v>WizardWrx_Libs\SharedUtl2\SharedUtl2_Test_Harness\SharedUtl2_Test_Harness</v>
      </c>
      <c r="D36" s="10" t="str">
        <f>[1]!GetFile(A36)</f>
        <v>HTMLDocsDivisonsWorkout.cs</v>
      </c>
      <c r="E36" s="13">
        <v>118</v>
      </c>
      <c r="F36" s="13" t="b">
        <f t="shared" si="0"/>
        <v>1</v>
      </c>
      <c r="G36" s="13"/>
      <c r="H36" s="13"/>
      <c r="I36" s="11" t="s">
        <v>30</v>
      </c>
      <c r="J36" s="16" t="str">
        <f t="shared" si="1"/>
        <v>WizardWrx_Libs\SharedUtl2\SharedUtl2_Test_Harness\SharedUtl2_Test_Harness</v>
      </c>
    </row>
    <row r="37" spans="1:10" x14ac:dyDescent="0.25">
      <c r="A37" s="10" t="s">
        <v>62</v>
      </c>
      <c r="B37" s="10" t="str">
        <f>[1]!GetFolder(A37)</f>
        <v>C:\Documents and Settings\DAG\My Documents\Visual Studio 2010\Projects\WizardWrx_Libs\SharedUtl2\SharedUtl2_Test_Harness\SharedUtl2_Test_Harness</v>
      </c>
      <c r="C37" s="10" t="str">
        <f>IF(LEN(B37)&gt;LEN(Visual_Studio_Source_Code),RIGHT(B37,LEN(B37)-LEN([1]!AddBackslash(Visual_Studio_Source_Code))),B37)</f>
        <v>WizardWrx_Libs\SharedUtl2\SharedUtl2_Test_Harness\SharedUtl2_Test_Harness</v>
      </c>
      <c r="D37" s="10" t="str">
        <f>[1]!GetFile(A37)</f>
        <v>HTMLDocsDivisonsWorkout.cs</v>
      </c>
      <c r="E37" s="13">
        <v>153</v>
      </c>
      <c r="F37" s="13" t="b">
        <f t="shared" si="0"/>
        <v>1</v>
      </c>
      <c r="G37" s="13"/>
      <c r="H37" s="13"/>
      <c r="I37" s="11" t="s">
        <v>30</v>
      </c>
      <c r="J37" s="16" t="str">
        <f t="shared" si="1"/>
        <v>WizardWrx_Libs\SharedUtl2\SharedUtl2_Test_Harness\SharedUtl2_Test_Harness</v>
      </c>
    </row>
    <row r="38" spans="1:10" x14ac:dyDescent="0.25">
      <c r="A38" s="10" t="s">
        <v>62</v>
      </c>
      <c r="B38" s="10" t="str">
        <f>[1]!GetFolder(A38)</f>
        <v>C:\Documents and Settings\DAG\My Documents\Visual Studio 2010\Projects\WizardWrx_Libs\SharedUtl2\SharedUtl2_Test_Harness\SharedUtl2_Test_Harness</v>
      </c>
      <c r="C38" s="10" t="str">
        <f>IF(LEN(B38)&gt;LEN(Visual_Studio_Source_Code),RIGHT(B38,LEN(B38)-LEN([1]!AddBackslash(Visual_Studio_Source_Code))),B38)</f>
        <v>WizardWrx_Libs\SharedUtl2\SharedUtl2_Test_Harness\SharedUtl2_Test_Harness</v>
      </c>
      <c r="D38" s="10" t="str">
        <f>[1]!GetFile(A38)</f>
        <v>HTMLDocsDivisonsWorkout.cs</v>
      </c>
      <c r="E38" s="13">
        <v>159</v>
      </c>
      <c r="F38" s="13" t="b">
        <f t="shared" si="0"/>
        <v>1</v>
      </c>
      <c r="G38" s="13"/>
      <c r="H38" s="13"/>
      <c r="I38" s="11" t="s">
        <v>30</v>
      </c>
      <c r="J38" s="16" t="str">
        <f t="shared" si="1"/>
        <v>WizardWrx_Libs\SharedUtl2\SharedUtl2_Test_Harness\SharedUtl2_Test_Harness</v>
      </c>
    </row>
    <row r="39" spans="1:10" x14ac:dyDescent="0.25">
      <c r="A39" s="10" t="s">
        <v>62</v>
      </c>
      <c r="B39" s="10" t="str">
        <f>[1]!GetFolder(A39)</f>
        <v>C:\Documents and Settings\DAG\My Documents\Visual Studio 2010\Projects\WizardWrx_Libs\SharedUtl2\SharedUtl2_Test_Harness\SharedUtl2_Test_Harness</v>
      </c>
      <c r="C39" s="10" t="str">
        <f>IF(LEN(B39)&gt;LEN(Visual_Studio_Source_Code),RIGHT(B39,LEN(B39)-LEN([1]!AddBackslash(Visual_Studio_Source_Code))),B39)</f>
        <v>WizardWrx_Libs\SharedUtl2\SharedUtl2_Test_Harness\SharedUtl2_Test_Harness</v>
      </c>
      <c r="D39" s="10" t="str">
        <f>[1]!GetFile(A39)</f>
        <v>HTMLDocsDivisonsWorkout.cs</v>
      </c>
      <c r="E39" s="13">
        <v>165</v>
      </c>
      <c r="F39" s="13" t="b">
        <f t="shared" si="0"/>
        <v>1</v>
      </c>
      <c r="G39" s="13"/>
      <c r="H39" s="13"/>
      <c r="I39" s="11" t="s">
        <v>30</v>
      </c>
      <c r="J39" s="16" t="str">
        <f t="shared" si="1"/>
        <v>WizardWrx_Libs\SharedUtl2\SharedUtl2_Test_Harness\SharedUtl2_Test_Harness</v>
      </c>
    </row>
    <row r="40" spans="1:10" x14ac:dyDescent="0.25">
      <c r="A40" s="10" t="s">
        <v>62</v>
      </c>
      <c r="B40" s="10" t="str">
        <f>[1]!GetFolder(A40)</f>
        <v>C:\Documents and Settings\DAG\My Documents\Visual Studio 2010\Projects\WizardWrx_Libs\SharedUtl2\SharedUtl2_Test_Harness\SharedUtl2_Test_Harness</v>
      </c>
      <c r="C40" s="10" t="str">
        <f>IF(LEN(B40)&gt;LEN(Visual_Studio_Source_Code),RIGHT(B40,LEN(B40)-LEN([1]!AddBackslash(Visual_Studio_Source_Code))),B40)</f>
        <v>WizardWrx_Libs\SharedUtl2\SharedUtl2_Test_Harness\SharedUtl2_Test_Harness</v>
      </c>
      <c r="D40" s="10" t="str">
        <f>[1]!GetFile(A40)</f>
        <v>HTMLDocsDivisonsWorkout.cs</v>
      </c>
      <c r="E40" s="13">
        <v>171</v>
      </c>
      <c r="F40" s="13" t="b">
        <f t="shared" si="0"/>
        <v>1</v>
      </c>
      <c r="G40" s="13"/>
      <c r="H40" s="13"/>
      <c r="I40" s="11" t="s">
        <v>30</v>
      </c>
      <c r="J40" s="16" t="str">
        <f t="shared" si="1"/>
        <v>WizardWrx_Libs\SharedUtl2\SharedUtl2_Test_Harness\SharedUtl2_Test_Harness</v>
      </c>
    </row>
    <row r="41" spans="1:10" x14ac:dyDescent="0.25">
      <c r="A41" s="10" t="s">
        <v>62</v>
      </c>
      <c r="B41" s="10" t="str">
        <f>[1]!GetFolder(A41)</f>
        <v>C:\Documents and Settings\DAG\My Documents\Visual Studio 2010\Projects\WizardWrx_Libs\SharedUtl2\SharedUtl2_Test_Harness\SharedUtl2_Test_Harness</v>
      </c>
      <c r="C41" s="10" t="str">
        <f>IF(LEN(B41)&gt;LEN(Visual_Studio_Source_Code),RIGHT(B41,LEN(B41)-LEN([1]!AddBackslash(Visual_Studio_Source_Code))),B41)</f>
        <v>WizardWrx_Libs\SharedUtl2\SharedUtl2_Test_Harness\SharedUtl2_Test_Harness</v>
      </c>
      <c r="D41" s="10" t="str">
        <f>[1]!GetFile(A41)</f>
        <v>HTMLDocsDivisonsWorkout.cs</v>
      </c>
      <c r="E41" s="13">
        <v>206</v>
      </c>
      <c r="F41" s="13" t="b">
        <f t="shared" si="0"/>
        <v>1</v>
      </c>
      <c r="G41" s="13"/>
      <c r="H41" s="13"/>
      <c r="I41" s="11" t="s">
        <v>30</v>
      </c>
      <c r="J41" s="16" t="str">
        <f t="shared" si="1"/>
        <v>WizardWrx_Libs\SharedUtl2\SharedUtl2_Test_Harness\SharedUtl2_Test_Harness</v>
      </c>
    </row>
    <row r="42" spans="1:10" x14ac:dyDescent="0.25">
      <c r="A42" s="10" t="s">
        <v>62</v>
      </c>
      <c r="B42" s="10" t="str">
        <f>[1]!GetFolder(A42)</f>
        <v>C:\Documents and Settings\DAG\My Documents\Visual Studio 2010\Projects\WizardWrx_Libs\SharedUtl2\SharedUtl2_Test_Harness\SharedUtl2_Test_Harness</v>
      </c>
      <c r="C42" s="10" t="str">
        <f>IF(LEN(B42)&gt;LEN(Visual_Studio_Source_Code),RIGHT(B42,LEN(B42)-LEN([1]!AddBackslash(Visual_Studio_Source_Code))),B42)</f>
        <v>WizardWrx_Libs\SharedUtl2\SharedUtl2_Test_Harness\SharedUtl2_Test_Harness</v>
      </c>
      <c r="D42" s="10" t="str">
        <f>[1]!GetFile(A42)</f>
        <v>HTMLDocsDivisonsWorkout.cs</v>
      </c>
      <c r="E42" s="13">
        <v>212</v>
      </c>
      <c r="F42" s="13" t="b">
        <f t="shared" si="0"/>
        <v>1</v>
      </c>
      <c r="G42" s="13"/>
      <c r="H42" s="13"/>
      <c r="I42" s="11" t="s">
        <v>30</v>
      </c>
      <c r="J42" s="16" t="str">
        <f t="shared" si="1"/>
        <v>WizardWrx_Libs\SharedUtl2\SharedUtl2_Test_Harness\SharedUtl2_Test_Harness</v>
      </c>
    </row>
    <row r="43" spans="1:10" x14ac:dyDescent="0.25">
      <c r="A43" s="10" t="s">
        <v>62</v>
      </c>
      <c r="B43" s="10" t="str">
        <f>[1]!GetFolder(A43)</f>
        <v>C:\Documents and Settings\DAG\My Documents\Visual Studio 2010\Projects\WizardWrx_Libs\SharedUtl2\SharedUtl2_Test_Harness\SharedUtl2_Test_Harness</v>
      </c>
      <c r="C43" s="10" t="str">
        <f>IF(LEN(B43)&gt;LEN(Visual_Studio_Source_Code),RIGHT(B43,LEN(B43)-LEN([1]!AddBackslash(Visual_Studio_Source_Code))),B43)</f>
        <v>WizardWrx_Libs\SharedUtl2\SharedUtl2_Test_Harness\SharedUtl2_Test_Harness</v>
      </c>
      <c r="D43" s="10" t="str">
        <f>[1]!GetFile(A43)</f>
        <v>HTMLDocsDivisonsWorkout.cs</v>
      </c>
      <c r="E43" s="13">
        <v>218</v>
      </c>
      <c r="F43" s="13" t="b">
        <f t="shared" si="0"/>
        <v>1</v>
      </c>
      <c r="G43" s="13"/>
      <c r="H43" s="13"/>
      <c r="I43" s="11" t="s">
        <v>30</v>
      </c>
      <c r="J43" s="16" t="str">
        <f t="shared" si="1"/>
        <v>WizardWrx_Libs\SharedUtl2\SharedUtl2_Test_Harness\SharedUtl2_Test_Harness</v>
      </c>
    </row>
    <row r="44" spans="1:10" x14ac:dyDescent="0.25">
      <c r="A44" s="10" t="s">
        <v>62</v>
      </c>
      <c r="B44" s="10" t="str">
        <f>[1]!GetFolder(A44)</f>
        <v>C:\Documents and Settings\DAG\My Documents\Visual Studio 2010\Projects\WizardWrx_Libs\SharedUtl2\SharedUtl2_Test_Harness\SharedUtl2_Test_Harness</v>
      </c>
      <c r="C44" s="10" t="str">
        <f>IF(LEN(B44)&gt;LEN(Visual_Studio_Source_Code),RIGHT(B44,LEN(B44)-LEN([1]!AddBackslash(Visual_Studio_Source_Code))),B44)</f>
        <v>WizardWrx_Libs\SharedUtl2\SharedUtl2_Test_Harness\SharedUtl2_Test_Harness</v>
      </c>
      <c r="D44" s="10" t="str">
        <f>[1]!GetFile(A44)</f>
        <v>HTMLDocsDivisonsWorkout.cs</v>
      </c>
      <c r="E44" s="13">
        <v>224</v>
      </c>
      <c r="F44" s="13" t="b">
        <f t="shared" si="0"/>
        <v>1</v>
      </c>
      <c r="G44" s="13"/>
      <c r="H44" s="13"/>
      <c r="I44" s="11" t="s">
        <v>30</v>
      </c>
      <c r="J44" s="16" t="str">
        <f t="shared" si="1"/>
        <v>WizardWrx_Libs\SharedUtl2\SharedUtl2_Test_Harness\SharedUtl2_Test_Harness</v>
      </c>
    </row>
    <row r="45" spans="1:10" x14ac:dyDescent="0.25">
      <c r="A45" s="10" t="s">
        <v>62</v>
      </c>
      <c r="B45" s="10" t="str">
        <f>[1]!GetFolder(A45)</f>
        <v>C:\Documents and Settings\DAG\My Documents\Visual Studio 2010\Projects\WizardWrx_Libs\SharedUtl2\SharedUtl2_Test_Harness\SharedUtl2_Test_Harness</v>
      </c>
      <c r="C45" s="10" t="str">
        <f>IF(LEN(B45)&gt;LEN(Visual_Studio_Source_Code),RIGHT(B45,LEN(B45)-LEN([1]!AddBackslash(Visual_Studio_Source_Code))),B45)</f>
        <v>WizardWrx_Libs\SharedUtl2\SharedUtl2_Test_Harness\SharedUtl2_Test_Harness</v>
      </c>
      <c r="D45" s="10" t="str">
        <f>[1]!GetFile(A45)</f>
        <v>HTMLDocsDivisonsWorkout.cs</v>
      </c>
      <c r="E45" s="13">
        <v>297</v>
      </c>
      <c r="F45" s="13" t="b">
        <f t="shared" si="0"/>
        <v>1</v>
      </c>
      <c r="G45" s="13"/>
      <c r="H45" s="13"/>
      <c r="I45" s="11" t="s">
        <v>30</v>
      </c>
      <c r="J45" s="16" t="str">
        <f t="shared" si="1"/>
        <v>WizardWrx_Libs\SharedUtl2\SharedUtl2_Test_Harness\SharedUtl2_Test_Harness</v>
      </c>
    </row>
    <row r="46" spans="1:10" x14ac:dyDescent="0.25">
      <c r="A46" s="10" t="s">
        <v>62</v>
      </c>
      <c r="B46" s="10" t="str">
        <f>[1]!GetFolder(A46)</f>
        <v>C:\Documents and Settings\DAG\My Documents\Visual Studio 2010\Projects\WizardWrx_Libs\SharedUtl2\SharedUtl2_Test_Harness\SharedUtl2_Test_Harness</v>
      </c>
      <c r="C46" s="10" t="str">
        <f>IF(LEN(B46)&gt;LEN(Visual_Studio_Source_Code),RIGHT(B46,LEN(B46)-LEN([1]!AddBackslash(Visual_Studio_Source_Code))),B46)</f>
        <v>WizardWrx_Libs\SharedUtl2\SharedUtl2_Test_Harness\SharedUtl2_Test_Harness</v>
      </c>
      <c r="D46" s="10" t="str">
        <f>[1]!GetFile(A46)</f>
        <v>HTMLDocsDivisonsWorkout.cs</v>
      </c>
      <c r="E46" s="13">
        <v>303</v>
      </c>
      <c r="F46" s="13" t="b">
        <f t="shared" si="0"/>
        <v>1</v>
      </c>
      <c r="G46" s="13"/>
      <c r="H46" s="13"/>
      <c r="I46" s="11" t="s">
        <v>30</v>
      </c>
      <c r="J46" s="16" t="str">
        <f t="shared" si="1"/>
        <v>WizardWrx_Libs\SharedUtl2\SharedUtl2_Test_Harness\SharedUtl2_Test_Harness</v>
      </c>
    </row>
    <row r="47" spans="1:10" x14ac:dyDescent="0.25">
      <c r="A47" s="10" t="s">
        <v>62</v>
      </c>
      <c r="B47" s="10" t="str">
        <f>[1]!GetFolder(A47)</f>
        <v>C:\Documents and Settings\DAG\My Documents\Visual Studio 2010\Projects\WizardWrx_Libs\SharedUtl2\SharedUtl2_Test_Harness\SharedUtl2_Test_Harness</v>
      </c>
      <c r="C47" s="10" t="str">
        <f>IF(LEN(B47)&gt;LEN(Visual_Studio_Source_Code),RIGHT(B47,LEN(B47)-LEN([1]!AddBackslash(Visual_Studio_Source_Code))),B47)</f>
        <v>WizardWrx_Libs\SharedUtl2\SharedUtl2_Test_Harness\SharedUtl2_Test_Harness</v>
      </c>
      <c r="D47" s="10" t="str">
        <f>[1]!GetFile(A47)</f>
        <v>HTMLDocsDivisonsWorkout.cs</v>
      </c>
      <c r="E47" s="13">
        <v>309</v>
      </c>
      <c r="F47" s="13" t="b">
        <f t="shared" si="0"/>
        <v>1</v>
      </c>
      <c r="G47" s="13"/>
      <c r="H47" s="13"/>
      <c r="I47" s="11" t="s">
        <v>30</v>
      </c>
      <c r="J47" s="16" t="str">
        <f t="shared" si="1"/>
        <v>WizardWrx_Libs\SharedUtl2\SharedUtl2_Test_Harness\SharedUtl2_Test_Harness</v>
      </c>
    </row>
    <row r="48" spans="1:10" x14ac:dyDescent="0.25">
      <c r="A48" s="10" t="s">
        <v>62</v>
      </c>
      <c r="B48" s="10" t="str">
        <f>[1]!GetFolder(A48)</f>
        <v>C:\Documents and Settings\DAG\My Documents\Visual Studio 2010\Projects\WizardWrx_Libs\SharedUtl2\SharedUtl2_Test_Harness\SharedUtl2_Test_Harness</v>
      </c>
      <c r="C48" s="10" t="str">
        <f>IF(LEN(B48)&gt;LEN(Visual_Studio_Source_Code),RIGHT(B48,LEN(B48)-LEN([1]!AddBackslash(Visual_Studio_Source_Code))),B48)</f>
        <v>WizardWrx_Libs\SharedUtl2\SharedUtl2_Test_Harness\SharedUtl2_Test_Harness</v>
      </c>
      <c r="D48" s="10" t="str">
        <f>[1]!GetFile(A48)</f>
        <v>HTMLDocsDivisonsWorkout.cs</v>
      </c>
      <c r="E48" s="13">
        <v>315</v>
      </c>
      <c r="F48" s="13" t="b">
        <f t="shared" si="0"/>
        <v>1</v>
      </c>
      <c r="G48" s="13"/>
      <c r="H48" s="13"/>
      <c r="I48" s="11" t="s">
        <v>30</v>
      </c>
      <c r="J48" s="16" t="str">
        <f t="shared" si="1"/>
        <v>WizardWrx_Libs\SharedUtl2\SharedUtl2_Test_Harness\SharedUtl2_Test_Harness</v>
      </c>
    </row>
    <row r="49" spans="1:10" x14ac:dyDescent="0.25">
      <c r="A49" s="10" t="s">
        <v>63</v>
      </c>
      <c r="B49" s="10" t="str">
        <f>[1]!GetFolder(A49)</f>
        <v>C:\Documents and Settings\DAG\My Documents\Visual Studio 2010\Projects\WizardWrx_Libs\SharedUtl2\SharedUtl2_Test_Harness\SharedUtl2_Test_Harness</v>
      </c>
      <c r="C49" s="10" t="str">
        <f>IF(LEN(B49)&gt;LEN(Visual_Studio_Source_Code),RIGHT(B49,LEN(B49)-LEN([1]!AddBackslash(Visual_Studio_Source_Code))),B49)</f>
        <v>WizardWrx_Libs\SharedUtl2\SharedUtl2_Test_Harness\SharedUtl2_Test_Harness</v>
      </c>
      <c r="D49" s="10" t="str">
        <f>[1]!GetFile(A49)</f>
        <v>Program.cs</v>
      </c>
      <c r="E49" s="13">
        <v>119</v>
      </c>
      <c r="F49" s="13" t="b">
        <f t="shared" si="0"/>
        <v>1</v>
      </c>
      <c r="G49" s="13"/>
      <c r="H49" s="13"/>
      <c r="I49" s="11" t="s">
        <v>64</v>
      </c>
      <c r="J49" s="16" t="str">
        <f t="shared" si="1"/>
        <v>WizardWrx_Libs\SharedUtl2\SharedUtl2_Test_Harness\SharedUtl2_Test_Harness</v>
      </c>
    </row>
    <row r="50" spans="1:10" x14ac:dyDescent="0.25">
      <c r="A50" s="10" t="s">
        <v>65</v>
      </c>
      <c r="B50" s="10" t="str">
        <f>[1]!GetFolder(A50)</f>
        <v>C:\Documents and Settings\DAG\My Documents\Visual Studio 2010\Projects\WizardWrx_Libs\SharedUtl2\SharedUtl2_Test_Harness\SharedUtl2_Test_Harness</v>
      </c>
      <c r="C50" s="10" t="str">
        <f>IF(LEN(B50)&gt;LEN(Visual_Studio_Source_Code),RIGHT(B50,LEN(B50)-LEN([1]!AddBackslash(Visual_Studio_Source_Code))),B50)</f>
        <v>WizardWrx_Libs\SharedUtl2\SharedUtl2_Test_Harness\SharedUtl2_Test_Harness</v>
      </c>
      <c r="D50" s="10" t="str">
        <f>[1]!GetFile(A50)</f>
        <v>WholeFileReader.cs</v>
      </c>
      <c r="E50" s="13">
        <v>83</v>
      </c>
      <c r="F50" s="13" t="b">
        <f t="shared" si="0"/>
        <v>1</v>
      </c>
      <c r="G50" s="13"/>
      <c r="H50" s="13"/>
      <c r="I50" s="11" t="s">
        <v>17</v>
      </c>
      <c r="J50" s="16" t="str">
        <f t="shared" si="1"/>
        <v>WizardWrx_Libs\SharedUtl2\SharedUtl2_Test_Harness\SharedUtl2_Test_Harness</v>
      </c>
    </row>
    <row r="51" spans="1:10" x14ac:dyDescent="0.25">
      <c r="A51" s="10" t="s">
        <v>65</v>
      </c>
      <c r="B51" s="10" t="str">
        <f>[1]!GetFolder(A51)</f>
        <v>C:\Documents and Settings\DAG\My Documents\Visual Studio 2010\Projects\WizardWrx_Libs\SharedUtl2\SharedUtl2_Test_Harness\SharedUtl2_Test_Harness</v>
      </c>
      <c r="C51" s="10" t="str">
        <f>IF(LEN(B51)&gt;LEN(Visual_Studio_Source_Code),RIGHT(B51,LEN(B51)-LEN([1]!AddBackslash(Visual_Studio_Source_Code))),B51)</f>
        <v>WizardWrx_Libs\SharedUtl2\SharedUtl2_Test_Harness\SharedUtl2_Test_Harness</v>
      </c>
      <c r="D51" s="10" t="str">
        <f>[1]!GetFile(A51)</f>
        <v>WholeFileReader.cs</v>
      </c>
      <c r="E51" s="13">
        <v>89</v>
      </c>
      <c r="F51" s="13" t="b">
        <f t="shared" si="0"/>
        <v>1</v>
      </c>
      <c r="G51" s="13"/>
      <c r="H51" s="13"/>
      <c r="I51" s="11" t="s">
        <v>17</v>
      </c>
      <c r="J51" s="16" t="str">
        <f t="shared" si="1"/>
        <v>WizardWrx_Libs\SharedUtl2\SharedUtl2_Test_Harness\SharedUtl2_Test_Harness</v>
      </c>
    </row>
    <row r="52" spans="1:10" x14ac:dyDescent="0.25">
      <c r="A52" s="10" t="s">
        <v>65</v>
      </c>
      <c r="B52" s="10" t="str">
        <f>[1]!GetFolder(A52)</f>
        <v>C:\Documents and Settings\DAG\My Documents\Visual Studio 2010\Projects\WizardWrx_Libs\SharedUtl2\SharedUtl2_Test_Harness\SharedUtl2_Test_Harness</v>
      </c>
      <c r="C52" s="10" t="str">
        <f>IF(LEN(B52)&gt;LEN(Visual_Studio_Source_Code),RIGHT(B52,LEN(B52)-LEN([1]!AddBackslash(Visual_Studio_Source_Code))),B52)</f>
        <v>WizardWrx_Libs\SharedUtl2\SharedUtl2_Test_Harness\SharedUtl2_Test_Harness</v>
      </c>
      <c r="D52" s="10" t="str">
        <f>[1]!GetFile(A52)</f>
        <v>WholeFileReader.cs</v>
      </c>
      <c r="E52" s="13">
        <v>109</v>
      </c>
      <c r="F52" s="13" t="b">
        <f t="shared" si="0"/>
        <v>1</v>
      </c>
      <c r="G52" s="13"/>
      <c r="H52" s="13"/>
      <c r="I52" s="11" t="s">
        <v>17</v>
      </c>
      <c r="J52" s="16" t="str">
        <f t="shared" si="1"/>
        <v>WizardWrx_Libs\SharedUtl2\SharedUtl2_Test_Harness\SharedUtl2_Test_Harness</v>
      </c>
    </row>
    <row r="53" spans="1:10" x14ac:dyDescent="0.25">
      <c r="A53" s="10" t="s">
        <v>65</v>
      </c>
      <c r="B53" s="10" t="str">
        <f>[1]!GetFolder(A53)</f>
        <v>C:\Documents and Settings\DAG\My Documents\Visual Studio 2010\Projects\WizardWrx_Libs\SharedUtl2\SharedUtl2_Test_Harness\SharedUtl2_Test_Harness</v>
      </c>
      <c r="C53" s="10" t="str">
        <f>IF(LEN(B53)&gt;LEN(Visual_Studio_Source_Code),RIGHT(B53,LEN(B53)-LEN([1]!AddBackslash(Visual_Studio_Source_Code))),B53)</f>
        <v>WizardWrx_Libs\SharedUtl2\SharedUtl2_Test_Harness\SharedUtl2_Test_Harness</v>
      </c>
      <c r="D53" s="10" t="str">
        <f>[1]!GetFile(A53)</f>
        <v>WholeFileReader.cs</v>
      </c>
      <c r="E53" s="13">
        <v>115</v>
      </c>
      <c r="F53" s="13" t="b">
        <f t="shared" si="0"/>
        <v>1</v>
      </c>
      <c r="G53" s="13"/>
      <c r="H53" s="13"/>
      <c r="I53" s="11" t="s">
        <v>17</v>
      </c>
      <c r="J53" s="16" t="str">
        <f t="shared" si="1"/>
        <v>WizardWrx_Libs\SharedUtl2\SharedUtl2_Test_Harness\SharedUtl2_Test_Harness</v>
      </c>
    </row>
    <row r="54" spans="1:10" x14ac:dyDescent="0.25">
      <c r="A54" s="10" t="s">
        <v>65</v>
      </c>
      <c r="B54" s="10" t="str">
        <f>[1]!GetFolder(A54)</f>
        <v>C:\Documents and Settings\DAG\My Documents\Visual Studio 2010\Projects\WizardWrx_Libs\SharedUtl2\SharedUtl2_Test_Harness\SharedUtl2_Test_Harness</v>
      </c>
      <c r="C54" s="10" t="str">
        <f>IF(LEN(B54)&gt;LEN(Visual_Studio_Source_Code),RIGHT(B54,LEN(B54)-LEN([1]!AddBackslash(Visual_Studio_Source_Code))),B54)</f>
        <v>WizardWrx_Libs\SharedUtl2\SharedUtl2_Test_Harness\SharedUtl2_Test_Harness</v>
      </c>
      <c r="D54" s="10" t="str">
        <f>[1]!GetFile(A54)</f>
        <v>WholeFileReader.cs</v>
      </c>
      <c r="E54" s="13">
        <v>138</v>
      </c>
      <c r="F54" s="13" t="b">
        <f t="shared" si="0"/>
        <v>1</v>
      </c>
      <c r="G54" s="13"/>
      <c r="H54" s="13"/>
      <c r="I54" s="11" t="s">
        <v>17</v>
      </c>
      <c r="J54" s="16" t="str">
        <f t="shared" si="1"/>
        <v>WizardWrx_Libs\SharedUtl2\SharedUtl2_Test_Harness\SharedUtl2_Test_Harness</v>
      </c>
    </row>
    <row r="55" spans="1:10" x14ac:dyDescent="0.25">
      <c r="A55" s="10" t="s">
        <v>65</v>
      </c>
      <c r="B55" s="10" t="str">
        <f>[1]!GetFolder(A55)</f>
        <v>C:\Documents and Settings\DAG\My Documents\Visual Studio 2010\Projects\WizardWrx_Libs\SharedUtl2\SharedUtl2_Test_Harness\SharedUtl2_Test_Harness</v>
      </c>
      <c r="C55" s="10" t="str">
        <f>IF(LEN(B55)&gt;LEN(Visual_Studio_Source_Code),RIGHT(B55,LEN(B55)-LEN([1]!AddBackslash(Visual_Studio_Source_Code))),B55)</f>
        <v>WizardWrx_Libs\SharedUtl2\SharedUtl2_Test_Harness\SharedUtl2_Test_Harness</v>
      </c>
      <c r="D55" s="10" t="str">
        <f>[1]!GetFile(A55)</f>
        <v>WholeFileReader.cs</v>
      </c>
      <c r="E55" s="13">
        <v>144</v>
      </c>
      <c r="F55" s="13" t="b">
        <f t="shared" si="0"/>
        <v>1</v>
      </c>
      <c r="G55" s="13"/>
      <c r="H55" s="13"/>
      <c r="I55" s="11" t="s">
        <v>17</v>
      </c>
      <c r="J55" s="16" t="str">
        <f t="shared" si="1"/>
        <v>WizardWrx_Libs\SharedUtl2\SharedUtl2_Test_Harness\SharedUtl2_Test_Harness</v>
      </c>
    </row>
    <row r="56" spans="1:10" x14ac:dyDescent="0.25">
      <c r="A56" s="10" t="s">
        <v>66</v>
      </c>
      <c r="B56" s="10" t="str">
        <f>[1]!GetFolder(A56)</f>
        <v>C:\Documents and Settings\DAG\My Documents\Visual Studio 2010\Projects\WizardWrx_Libs\SharedUtl2\WWDelimitedTextReader\WWDelimitedTextReader</v>
      </c>
      <c r="C56" s="10" t="str">
        <f>IF(LEN(B56)&gt;LEN(Visual_Studio_Source_Code),RIGHT(B56,LEN(B56)-LEN([1]!AddBackslash(Visual_Studio_Source_Code))),B56)</f>
        <v>WizardWrx_Libs\SharedUtl2\WWDelimitedTextReader\WWDelimitedTextReader</v>
      </c>
      <c r="D56" s="10" t="str">
        <f>[1]!GetFile(A56)</f>
        <v>Program.cs</v>
      </c>
      <c r="E56" s="13">
        <v>222</v>
      </c>
      <c r="F56" s="13" t="b">
        <f t="shared" si="0"/>
        <v>1</v>
      </c>
      <c r="G56" s="13"/>
      <c r="H56" s="13"/>
      <c r="I56" s="11" t="s">
        <v>17</v>
      </c>
      <c r="J56" s="16" t="str">
        <f t="shared" si="1"/>
        <v>WizardWrx_Libs\SharedUtl2\WWDelimitedTextReader\WWDelimitedTextReader</v>
      </c>
    </row>
    <row r="57" spans="1:10" x14ac:dyDescent="0.25">
      <c r="A57" s="10" t="s">
        <v>67</v>
      </c>
      <c r="B57" s="10" t="str">
        <f>[1]!GetFolder(A57)</f>
        <v>C:\Documents and Settings\DAG\My Documents\Visual Studio 2010\Projects\WizardWrx_Libs\WebApp\WebAppLibTestHarness\WebAppLibTestHarness</v>
      </c>
      <c r="C57" s="10" t="str">
        <f>IF(LEN(B57)&gt;LEN(Visual_Studio_Source_Code),RIGHT(B57,LEN(B57)-LEN([1]!AddBackslash(Visual_Studio_Source_Code))),B57)</f>
        <v>WizardWrx_Libs\WebApp\WebAppLibTestHarness\WebAppLibTestHarness</v>
      </c>
      <c r="D57" s="10" t="str">
        <f>[1]!GetFile(A57)</f>
        <v>Program.cs</v>
      </c>
      <c r="E57" s="13">
        <v>262</v>
      </c>
      <c r="F57" s="13" t="b">
        <f t="shared" si="0"/>
        <v>1</v>
      </c>
      <c r="G57" s="13"/>
      <c r="H57" s="13"/>
      <c r="I57" s="11" t="s">
        <v>68</v>
      </c>
      <c r="J57" s="16" t="str">
        <f t="shared" si="1"/>
        <v>WizardWrx_Libs\WebApp\WebAppLibTestHarness\WebAppLibTestHarness</v>
      </c>
    </row>
    <row r="58" spans="1:10" x14ac:dyDescent="0.25">
      <c r="A58" s="10" t="s">
        <v>69</v>
      </c>
      <c r="B58" s="10" t="str">
        <f>[1]!GetFolder(A58)</f>
        <v>C:\Documents and Settings\DAG\My Documents\Visual Studio 2010\Projects\WizardWrx_Libs\WWDate2FN\WWDate2FNTestStand</v>
      </c>
      <c r="C58" s="10" t="str">
        <f>IF(LEN(B58)&gt;LEN(Visual_Studio_Source_Code),RIGHT(B58,LEN(B58)-LEN([1]!AddBackslash(Visual_Studio_Source_Code))),B58)</f>
        <v>WizardWrx_Libs\WWDate2FN\WWDate2FNTestStand</v>
      </c>
      <c r="D58" s="10" t="str">
        <f>[1]!GetFile(A58)</f>
        <v>Program.cs</v>
      </c>
      <c r="E58" s="13">
        <v>91</v>
      </c>
      <c r="F58" s="13" t="b">
        <f t="shared" si="0"/>
        <v>1</v>
      </c>
      <c r="G58" s="13"/>
      <c r="H58" s="13"/>
      <c r="I58" s="11" t="s">
        <v>17</v>
      </c>
      <c r="J58" s="16" t="str">
        <f t="shared" si="1"/>
        <v>WizardWrx_Libs\WWDate2FN\WWDate2FNTestStand</v>
      </c>
    </row>
    <row r="59" spans="1:10" x14ac:dyDescent="0.25">
      <c r="A59" s="10" t="s">
        <v>70</v>
      </c>
      <c r="B59" s="10" t="str">
        <f>[1]!GetFolder(A59)</f>
        <v>C:\Documents and Settings\DAG\My Documents\Visual Studio 2010\Projects\_Laboratory\_MyPlayPen\_MyPlayPen</v>
      </c>
      <c r="C59" s="10" t="str">
        <f>IF(LEN(B59)&gt;LEN(Visual_Studio_Source_Code),RIGHT(B59,LEN(B59)-LEN([1]!AddBackslash(Visual_Studio_Source_Code))),B59)</f>
        <v>_Laboratory\_MyPlayPen\_MyPlayPen</v>
      </c>
      <c r="D59" s="10" t="str">
        <f>[1]!GetFile(A59)</f>
        <v>Program.cs</v>
      </c>
      <c r="E59" s="13">
        <v>211</v>
      </c>
      <c r="F59" s="13" t="b">
        <f t="shared" si="0"/>
        <v>1</v>
      </c>
      <c r="G59" s="13"/>
      <c r="H59" s="13"/>
      <c r="I59" s="11" t="s">
        <v>30</v>
      </c>
      <c r="J59" s="16" t="str">
        <f t="shared" si="1"/>
        <v>_Laboratory\_MyPlayPen\_MyPlayPen</v>
      </c>
    </row>
    <row r="60" spans="1:10" x14ac:dyDescent="0.25">
      <c r="A60" s="10" t="s">
        <v>70</v>
      </c>
      <c r="B60" s="10" t="str">
        <f>[1]!GetFolder(A60)</f>
        <v>C:\Documents and Settings\DAG\My Documents\Visual Studio 2010\Projects\_Laboratory\_MyPlayPen\_MyPlayPen</v>
      </c>
      <c r="C60" s="10" t="str">
        <f>IF(LEN(B60)&gt;LEN(Visual_Studio_Source_Code),RIGHT(B60,LEN(B60)-LEN([1]!AddBackslash(Visual_Studio_Source_Code))),B60)</f>
        <v>_Laboratory\_MyPlayPen\_MyPlayPen</v>
      </c>
      <c r="D60" s="10" t="str">
        <f>[1]!GetFile(A60)</f>
        <v>Program.cs</v>
      </c>
      <c r="E60" s="13">
        <v>385</v>
      </c>
      <c r="F60" s="13" t="b">
        <f t="shared" si="0"/>
        <v>1</v>
      </c>
      <c r="G60" s="13"/>
      <c r="H60" s="13"/>
      <c r="I60" s="11" t="s">
        <v>15</v>
      </c>
      <c r="J60" s="16" t="str">
        <f t="shared" si="1"/>
        <v>_Laboratory\_MyPlayPen\_MyPlayPen</v>
      </c>
    </row>
    <row r="61" spans="1:10" x14ac:dyDescent="0.25">
      <c r="A61" s="10" t="s">
        <v>70</v>
      </c>
      <c r="B61" s="10" t="str">
        <f>[1]!GetFolder(A61)</f>
        <v>C:\Documents and Settings\DAG\My Documents\Visual Studio 2010\Projects\_Laboratory\_MyPlayPen\_MyPlayPen</v>
      </c>
      <c r="C61" s="10" t="str">
        <f>IF(LEN(B61)&gt;LEN(Visual_Studio_Source_Code),RIGHT(B61,LEN(B61)-LEN([1]!AddBackslash(Visual_Studio_Source_Code))),B61)</f>
        <v>_Laboratory\_MyPlayPen\_MyPlayPen</v>
      </c>
      <c r="D61" s="10" t="str">
        <f>[1]!GetFile(A61)</f>
        <v>Program.cs</v>
      </c>
      <c r="E61" s="13">
        <v>415</v>
      </c>
      <c r="F61" s="13" t="b">
        <f t="shared" si="0"/>
        <v>1</v>
      </c>
      <c r="G61" s="13"/>
      <c r="H61" s="13"/>
      <c r="I61" s="11" t="s">
        <v>15</v>
      </c>
      <c r="J61" s="16" t="str">
        <f t="shared" si="1"/>
        <v>_Laboratory\_MyPlayPen\_MyPlayPen</v>
      </c>
    </row>
    <row r="62" spans="1:10" x14ac:dyDescent="0.25">
      <c r="A62" s="10" t="s">
        <v>71</v>
      </c>
      <c r="B62" s="10" t="str">
        <f>[1]!GetFolder(A62)</f>
        <v>C:\Documents and Settings\DAG\My Documents\Visual Studio 2010\Projects\_TESTING WizardWrx Libs\SharedUtl2\SharedUtl2</v>
      </c>
      <c r="C62" s="10" t="str">
        <f>IF(LEN(B62)&gt;LEN(Visual_Studio_Source_Code),RIGHT(B62,LEN(B62)-LEN([1]!AddBackslash(Visual_Studio_Source_Code))),B62)</f>
        <v>_TESTING WizardWrx Libs\SharedUtl2\SharedUtl2</v>
      </c>
      <c r="D62" s="10" t="str">
        <f>[1]!GetFile(A62)</f>
        <v>ThreadSafeExceptionReporting.cs</v>
      </c>
      <c r="E62" s="13">
        <v>16</v>
      </c>
      <c r="F62" s="13" t="b">
        <f t="shared" si="0"/>
        <v>1</v>
      </c>
      <c r="G62" s="13" t="b">
        <v>1</v>
      </c>
      <c r="H62" s="13"/>
      <c r="I62" s="11" t="s">
        <v>72</v>
      </c>
      <c r="J62" s="16" t="str">
        <f t="shared" si="1"/>
        <v>_TESTING WizardWrx Libs\SharedUtl2\SharedUtl2</v>
      </c>
    </row>
    <row r="63" spans="1:10" x14ac:dyDescent="0.25">
      <c r="A63" s="10" t="s">
        <v>71</v>
      </c>
      <c r="B63" s="10" t="str">
        <f>[1]!GetFolder(A63)</f>
        <v>C:\Documents and Settings\DAG\My Documents\Visual Studio 2010\Projects\_TESTING WizardWrx Libs\SharedUtl2\SharedUtl2</v>
      </c>
      <c r="C63" s="10" t="str">
        <f>IF(LEN(B63)&gt;LEN(Visual_Studio_Source_Code),RIGHT(B63,LEN(B63)-LEN([1]!AddBackslash(Visual_Studio_Source_Code))),B63)</f>
        <v>_TESTING WizardWrx Libs\SharedUtl2\SharedUtl2</v>
      </c>
      <c r="D63" s="10" t="str">
        <f>[1]!GetFile(A63)</f>
        <v>ThreadSafeExceptionReporting.cs</v>
      </c>
      <c r="E63" s="13">
        <v>18</v>
      </c>
      <c r="F63" s="13" t="b">
        <f t="shared" si="0"/>
        <v>1</v>
      </c>
      <c r="G63" s="13" t="b">
        <v>1</v>
      </c>
      <c r="H63" s="13"/>
      <c r="I63" s="11" t="s">
        <v>73</v>
      </c>
      <c r="J63" s="16" t="str">
        <f t="shared" si="1"/>
        <v>_TESTING WizardWrx Libs\SharedUtl2\SharedUtl2</v>
      </c>
    </row>
    <row r="64" spans="1:10" x14ac:dyDescent="0.25">
      <c r="A64" s="10" t="s">
        <v>71</v>
      </c>
      <c r="B64" s="10" t="str">
        <f>[1]!GetFolder(A64)</f>
        <v>C:\Documents and Settings\DAG\My Documents\Visual Studio 2010\Projects\_TESTING WizardWrx Libs\SharedUtl2\SharedUtl2</v>
      </c>
      <c r="C64" s="10" t="str">
        <f>IF(LEN(B64)&gt;LEN(Visual_Studio_Source_Code),RIGHT(B64,LEN(B64)-LEN([1]!AddBackslash(Visual_Studio_Source_Code))),B64)</f>
        <v>_TESTING WizardWrx Libs\SharedUtl2\SharedUtl2</v>
      </c>
      <c r="D64" s="10" t="str">
        <f>[1]!GetFile(A64)</f>
        <v>ThreadSafeExceptionReporting.cs</v>
      </c>
      <c r="E64" s="13">
        <v>23</v>
      </c>
      <c r="F64" s="13" t="b">
        <f t="shared" si="0"/>
        <v>1</v>
      </c>
      <c r="G64" s="13" t="b">
        <v>1</v>
      </c>
      <c r="H64" s="13"/>
      <c r="I64" s="11" t="s">
        <v>74</v>
      </c>
      <c r="J64" s="16" t="str">
        <f t="shared" si="1"/>
        <v>_TESTING WizardWrx Libs\SharedUtl2\SharedUtl2</v>
      </c>
    </row>
    <row r="65" spans="1:10" x14ac:dyDescent="0.25">
      <c r="A65" s="10" t="s">
        <v>71</v>
      </c>
      <c r="B65" s="10" t="str">
        <f>[1]!GetFolder(A65)</f>
        <v>C:\Documents and Settings\DAG\My Documents\Visual Studio 2010\Projects\_TESTING WizardWrx Libs\SharedUtl2\SharedUtl2</v>
      </c>
      <c r="C65" s="10" t="str">
        <f>IF(LEN(B65)&gt;LEN(Visual_Studio_Source_Code),RIGHT(B65,LEN(B65)-LEN([1]!AddBackslash(Visual_Studio_Source_Code))),B65)</f>
        <v>_TESTING WizardWrx Libs\SharedUtl2\SharedUtl2</v>
      </c>
      <c r="D65" s="10" t="str">
        <f>[1]!GetFile(A65)</f>
        <v>ThreadSafeExceptionReporting.cs</v>
      </c>
      <c r="E65" s="13">
        <v>118</v>
      </c>
      <c r="F65" s="13" t="b">
        <f t="shared" si="0"/>
        <v>1</v>
      </c>
      <c r="G65" s="13" t="b">
        <v>1</v>
      </c>
      <c r="H65" s="13"/>
      <c r="I65" s="11" t="s">
        <v>75</v>
      </c>
      <c r="J65" s="16" t="str">
        <f t="shared" si="1"/>
        <v>_TESTING WizardWrx Libs\SharedUtl2\SharedUtl2</v>
      </c>
    </row>
    <row r="66" spans="1:10" x14ac:dyDescent="0.25">
      <c r="A66" s="10" t="s">
        <v>71</v>
      </c>
      <c r="B66" s="10" t="str">
        <f>[1]!GetFolder(A66)</f>
        <v>C:\Documents and Settings\DAG\My Documents\Visual Studio 2010\Projects\_TESTING WizardWrx Libs\SharedUtl2\SharedUtl2</v>
      </c>
      <c r="C66" s="10" t="str">
        <f>IF(LEN(B66)&gt;LEN(Visual_Studio_Source_Code),RIGHT(B66,LEN(B66)-LEN([1]!AddBackslash(Visual_Studio_Source_Code))),B66)</f>
        <v>_TESTING WizardWrx Libs\SharedUtl2\SharedUtl2</v>
      </c>
      <c r="D66" s="10" t="str">
        <f>[1]!GetFile(A66)</f>
        <v>ThreadSafeExceptionReporting.cs</v>
      </c>
      <c r="E66" s="13">
        <v>534</v>
      </c>
      <c r="F66" s="13" t="b">
        <f t="shared" si="0"/>
        <v>1</v>
      </c>
      <c r="G66" s="13" t="b">
        <v>1</v>
      </c>
      <c r="H66" s="13"/>
      <c r="I66" s="11" t="s">
        <v>76</v>
      </c>
      <c r="J66" s="16" t="str">
        <f t="shared" si="1"/>
        <v>_TESTING WizardWrx Libs\SharedUtl2\SharedUtl2</v>
      </c>
    </row>
    <row r="67" spans="1:10" x14ac:dyDescent="0.25">
      <c r="A67" s="10" t="s">
        <v>77</v>
      </c>
      <c r="B67" s="10" t="str">
        <f>[1]!GetFolder(A67)</f>
        <v>C:\Documents and Settings\DAG\My Documents\Visual Studio 2010\Projects\_TESTING WizardWrx Libs\SharedUtl2\SharedUtl2</v>
      </c>
      <c r="C67" s="10" t="str">
        <f>IF(LEN(B67)&gt;LEN(Visual_Studio_Source_Code),RIGHT(B67,LEN(B67)-LEN([1]!AddBackslash(Visual_Studio_Source_Code))),B67)</f>
        <v>_TESTING WizardWrx Libs\SharedUtl2\SharedUtl2</v>
      </c>
      <c r="D67" s="10" t="str">
        <f>[1]!GetFile(A67)</f>
        <v>SharedUtl2.csproj</v>
      </c>
      <c r="E67" s="13">
        <v>66</v>
      </c>
      <c r="F67" s="13" t="b">
        <f t="shared" ref="F67:F91" si="2">NOT(ISERROR(FIND("ThreadSafeExceptionReporting",$I67)))</f>
        <v>1</v>
      </c>
      <c r="G67" s="13" t="b">
        <v>1</v>
      </c>
      <c r="H67" s="13"/>
      <c r="I67" s="11" t="s">
        <v>59</v>
      </c>
      <c r="J67" s="16" t="str">
        <f t="shared" ref="J67:J91" si="3">C67</f>
        <v>_TESTING WizardWrx Libs\SharedUtl2\SharedUtl2</v>
      </c>
    </row>
    <row r="68" spans="1:10" x14ac:dyDescent="0.25">
      <c r="A68" s="10" t="s">
        <v>78</v>
      </c>
      <c r="B68" s="10" t="str">
        <f>[1]!GetFolder(A68)</f>
        <v>C:\Documents and Settings\DAG\My Documents\Visual Studio 2010\Projects\_TESTING WizardWrx Libs\SharedUtl2\SharedUtl2_Mutex_Tester</v>
      </c>
      <c r="C68" s="10" t="str">
        <f>IF(LEN(B68)&gt;LEN(Visual_Studio_Source_Code),RIGHT(B68,LEN(B68)-LEN([1]!AddBackslash(Visual_Studio_Source_Code))),B68)</f>
        <v>_TESTING WizardWrx Libs\SharedUtl2\SharedUtl2_Mutex_Tester</v>
      </c>
      <c r="D68" s="10" t="str">
        <f>[1]!GetFile(A68)</f>
        <v>Program.cs</v>
      </c>
      <c r="E68" s="13">
        <v>896</v>
      </c>
      <c r="F68" s="13" t="b">
        <f t="shared" si="2"/>
        <v>1</v>
      </c>
      <c r="G68" s="13" t="b">
        <v>1</v>
      </c>
      <c r="H68" s="13"/>
      <c r="I68" s="11" t="s">
        <v>61</v>
      </c>
      <c r="J68" s="16" t="str">
        <f t="shared" si="3"/>
        <v>_TESTING WizardWrx Libs\SharedUtl2\SharedUtl2_Mutex_Tester</v>
      </c>
    </row>
    <row r="69" spans="1:10" x14ac:dyDescent="0.25">
      <c r="A69" s="10" t="s">
        <v>78</v>
      </c>
      <c r="B69" s="10" t="str">
        <f>[1]!GetFolder(A69)</f>
        <v>C:\Documents and Settings\DAG\My Documents\Visual Studio 2010\Projects\_TESTING WizardWrx Libs\SharedUtl2\SharedUtl2_Mutex_Tester</v>
      </c>
      <c r="C69" s="10" t="str">
        <f>IF(LEN(B69)&gt;LEN(Visual_Studio_Source_Code),RIGHT(B69,LEN(B69)-LEN([1]!AddBackslash(Visual_Studio_Source_Code))),B69)</f>
        <v>_TESTING WizardWrx Libs\SharedUtl2\SharedUtl2_Mutex_Tester</v>
      </c>
      <c r="D69" s="10" t="str">
        <f>[1]!GetFile(A69)</f>
        <v>Program.cs</v>
      </c>
      <c r="E69" s="13">
        <v>908</v>
      </c>
      <c r="F69" s="13" t="b">
        <f t="shared" si="2"/>
        <v>1</v>
      </c>
      <c r="G69" s="13" t="b">
        <v>1</v>
      </c>
      <c r="H69" s="13"/>
      <c r="I69" s="11" t="s">
        <v>17</v>
      </c>
      <c r="J69" s="16" t="str">
        <f t="shared" si="3"/>
        <v>_TESTING WizardWrx Libs\SharedUtl2\SharedUtl2_Mutex_Tester</v>
      </c>
    </row>
    <row r="70" spans="1:10" x14ac:dyDescent="0.25">
      <c r="A70" s="10" t="s">
        <v>79</v>
      </c>
      <c r="B70" s="10" t="str">
        <f>[1]!GetFolder(A70)</f>
        <v>C:\Documents and Settings\DAG\My Documents\Visual Studio 2010\Projects\_TESTING WizardWrx Libs\SharedUtl2\SharedUtl2_Test_Harness\SharedUtl2_Test_Harness</v>
      </c>
      <c r="C70" s="10" t="str">
        <f>IF(LEN(B70)&gt;LEN(Visual_Studio_Source_Code),RIGHT(B70,LEN(B70)-LEN([1]!AddBackslash(Visual_Studio_Source_Code))),B70)</f>
        <v>_TESTING WizardWrx Libs\SharedUtl2\SharedUtl2_Test_Harness\SharedUtl2_Test_Harness</v>
      </c>
      <c r="D70" s="10" t="str">
        <f>[1]!GetFile(A70)</f>
        <v>HTMLDocsDivisonsWorkout.cs</v>
      </c>
      <c r="E70" s="13">
        <v>100</v>
      </c>
      <c r="F70" s="13" t="b">
        <f t="shared" si="2"/>
        <v>1</v>
      </c>
      <c r="G70" s="13" t="b">
        <v>1</v>
      </c>
      <c r="H70" s="13"/>
      <c r="I70" s="11" t="s">
        <v>30</v>
      </c>
      <c r="J70" s="16" t="str">
        <f t="shared" si="3"/>
        <v>_TESTING WizardWrx Libs\SharedUtl2\SharedUtl2_Test_Harness\SharedUtl2_Test_Harness</v>
      </c>
    </row>
    <row r="71" spans="1:10" x14ac:dyDescent="0.25">
      <c r="A71" s="10" t="s">
        <v>79</v>
      </c>
      <c r="B71" s="10" t="str">
        <f>[1]!GetFolder(A71)</f>
        <v>C:\Documents and Settings\DAG\My Documents\Visual Studio 2010\Projects\_TESTING WizardWrx Libs\SharedUtl2\SharedUtl2_Test_Harness\SharedUtl2_Test_Harness</v>
      </c>
      <c r="C71" s="10" t="str">
        <f>IF(LEN(B71)&gt;LEN(Visual_Studio_Source_Code),RIGHT(B71,LEN(B71)-LEN([1]!AddBackslash(Visual_Studio_Source_Code))),B71)</f>
        <v>_TESTING WizardWrx Libs\SharedUtl2\SharedUtl2_Test_Harness\SharedUtl2_Test_Harness</v>
      </c>
      <c r="D71" s="10" t="str">
        <f>[1]!GetFile(A71)</f>
        <v>HTMLDocsDivisonsWorkout.cs</v>
      </c>
      <c r="E71" s="13">
        <v>106</v>
      </c>
      <c r="F71" s="13" t="b">
        <f t="shared" si="2"/>
        <v>1</v>
      </c>
      <c r="G71" s="13" t="b">
        <v>1</v>
      </c>
      <c r="H71" s="13"/>
      <c r="I71" s="11" t="s">
        <v>30</v>
      </c>
      <c r="J71" s="16" t="str">
        <f t="shared" si="3"/>
        <v>_TESTING WizardWrx Libs\SharedUtl2\SharedUtl2_Test_Harness\SharedUtl2_Test_Harness</v>
      </c>
    </row>
    <row r="72" spans="1:10" x14ac:dyDescent="0.25">
      <c r="A72" s="10" t="s">
        <v>79</v>
      </c>
      <c r="B72" s="10" t="str">
        <f>[1]!GetFolder(A72)</f>
        <v>C:\Documents and Settings\DAG\My Documents\Visual Studio 2010\Projects\_TESTING WizardWrx Libs\SharedUtl2\SharedUtl2_Test_Harness\SharedUtl2_Test_Harness</v>
      </c>
      <c r="C72" s="10" t="str">
        <f>IF(LEN(B72)&gt;LEN(Visual_Studio_Source_Code),RIGHT(B72,LEN(B72)-LEN([1]!AddBackslash(Visual_Studio_Source_Code))),B72)</f>
        <v>_TESTING WizardWrx Libs\SharedUtl2\SharedUtl2_Test_Harness\SharedUtl2_Test_Harness</v>
      </c>
      <c r="D72" s="10" t="str">
        <f>[1]!GetFile(A72)</f>
        <v>HTMLDocsDivisonsWorkout.cs</v>
      </c>
      <c r="E72" s="13">
        <v>112</v>
      </c>
      <c r="F72" s="13" t="b">
        <f t="shared" si="2"/>
        <v>1</v>
      </c>
      <c r="G72" s="13" t="b">
        <v>1</v>
      </c>
      <c r="H72" s="13"/>
      <c r="I72" s="11" t="s">
        <v>30</v>
      </c>
      <c r="J72" s="16" t="str">
        <f t="shared" si="3"/>
        <v>_TESTING WizardWrx Libs\SharedUtl2\SharedUtl2_Test_Harness\SharedUtl2_Test_Harness</v>
      </c>
    </row>
    <row r="73" spans="1:10" x14ac:dyDescent="0.25">
      <c r="A73" s="10" t="s">
        <v>79</v>
      </c>
      <c r="B73" s="10" t="str">
        <f>[1]!GetFolder(A73)</f>
        <v>C:\Documents and Settings\DAG\My Documents\Visual Studio 2010\Projects\_TESTING WizardWrx Libs\SharedUtl2\SharedUtl2_Test_Harness\SharedUtl2_Test_Harness</v>
      </c>
      <c r="C73" s="10" t="str">
        <f>IF(LEN(B73)&gt;LEN(Visual_Studio_Source_Code),RIGHT(B73,LEN(B73)-LEN([1]!AddBackslash(Visual_Studio_Source_Code))),B73)</f>
        <v>_TESTING WizardWrx Libs\SharedUtl2\SharedUtl2_Test_Harness\SharedUtl2_Test_Harness</v>
      </c>
      <c r="D73" s="10" t="str">
        <f>[1]!GetFile(A73)</f>
        <v>HTMLDocsDivisonsWorkout.cs</v>
      </c>
      <c r="E73" s="13">
        <v>118</v>
      </c>
      <c r="F73" s="13" t="b">
        <f t="shared" si="2"/>
        <v>1</v>
      </c>
      <c r="G73" s="13" t="b">
        <v>1</v>
      </c>
      <c r="H73" s="13"/>
      <c r="I73" s="11" t="s">
        <v>30</v>
      </c>
      <c r="J73" s="16" t="str">
        <f t="shared" si="3"/>
        <v>_TESTING WizardWrx Libs\SharedUtl2\SharedUtl2_Test_Harness\SharedUtl2_Test_Harness</v>
      </c>
    </row>
    <row r="74" spans="1:10" x14ac:dyDescent="0.25">
      <c r="A74" s="10" t="s">
        <v>79</v>
      </c>
      <c r="B74" s="10" t="str">
        <f>[1]!GetFolder(A74)</f>
        <v>C:\Documents and Settings\DAG\My Documents\Visual Studio 2010\Projects\_TESTING WizardWrx Libs\SharedUtl2\SharedUtl2_Test_Harness\SharedUtl2_Test_Harness</v>
      </c>
      <c r="C74" s="10" t="str">
        <f>IF(LEN(B74)&gt;LEN(Visual_Studio_Source_Code),RIGHT(B74,LEN(B74)-LEN([1]!AddBackslash(Visual_Studio_Source_Code))),B74)</f>
        <v>_TESTING WizardWrx Libs\SharedUtl2\SharedUtl2_Test_Harness\SharedUtl2_Test_Harness</v>
      </c>
      <c r="D74" s="10" t="str">
        <f>[1]!GetFile(A74)</f>
        <v>HTMLDocsDivisonsWorkout.cs</v>
      </c>
      <c r="E74" s="13">
        <v>153</v>
      </c>
      <c r="F74" s="13" t="b">
        <f t="shared" si="2"/>
        <v>1</v>
      </c>
      <c r="G74" s="13" t="b">
        <v>1</v>
      </c>
      <c r="H74" s="13"/>
      <c r="I74" s="11" t="s">
        <v>30</v>
      </c>
      <c r="J74" s="16" t="str">
        <f t="shared" si="3"/>
        <v>_TESTING WizardWrx Libs\SharedUtl2\SharedUtl2_Test_Harness\SharedUtl2_Test_Harness</v>
      </c>
    </row>
    <row r="75" spans="1:10" x14ac:dyDescent="0.25">
      <c r="A75" s="10" t="s">
        <v>79</v>
      </c>
      <c r="B75" s="10" t="str">
        <f>[1]!GetFolder(A75)</f>
        <v>C:\Documents and Settings\DAG\My Documents\Visual Studio 2010\Projects\_TESTING WizardWrx Libs\SharedUtl2\SharedUtl2_Test_Harness\SharedUtl2_Test_Harness</v>
      </c>
      <c r="C75" s="10" t="str">
        <f>IF(LEN(B75)&gt;LEN(Visual_Studio_Source_Code),RIGHT(B75,LEN(B75)-LEN([1]!AddBackslash(Visual_Studio_Source_Code))),B75)</f>
        <v>_TESTING WizardWrx Libs\SharedUtl2\SharedUtl2_Test_Harness\SharedUtl2_Test_Harness</v>
      </c>
      <c r="D75" s="10" t="str">
        <f>[1]!GetFile(A75)</f>
        <v>HTMLDocsDivisonsWorkout.cs</v>
      </c>
      <c r="E75" s="13">
        <v>159</v>
      </c>
      <c r="F75" s="13" t="b">
        <f t="shared" si="2"/>
        <v>1</v>
      </c>
      <c r="G75" s="13" t="b">
        <v>1</v>
      </c>
      <c r="H75" s="13"/>
      <c r="I75" s="11" t="s">
        <v>30</v>
      </c>
      <c r="J75" s="16" t="str">
        <f t="shared" si="3"/>
        <v>_TESTING WizardWrx Libs\SharedUtl2\SharedUtl2_Test_Harness\SharedUtl2_Test_Harness</v>
      </c>
    </row>
    <row r="76" spans="1:10" x14ac:dyDescent="0.25">
      <c r="A76" s="10" t="s">
        <v>79</v>
      </c>
      <c r="B76" s="10" t="str">
        <f>[1]!GetFolder(A76)</f>
        <v>C:\Documents and Settings\DAG\My Documents\Visual Studio 2010\Projects\_TESTING WizardWrx Libs\SharedUtl2\SharedUtl2_Test_Harness\SharedUtl2_Test_Harness</v>
      </c>
      <c r="C76" s="10" t="str">
        <f>IF(LEN(B76)&gt;LEN(Visual_Studio_Source_Code),RIGHT(B76,LEN(B76)-LEN([1]!AddBackslash(Visual_Studio_Source_Code))),B76)</f>
        <v>_TESTING WizardWrx Libs\SharedUtl2\SharedUtl2_Test_Harness\SharedUtl2_Test_Harness</v>
      </c>
      <c r="D76" s="10" t="str">
        <f>[1]!GetFile(A76)</f>
        <v>HTMLDocsDivisonsWorkout.cs</v>
      </c>
      <c r="E76" s="13">
        <v>165</v>
      </c>
      <c r="F76" s="13" t="b">
        <f t="shared" si="2"/>
        <v>1</v>
      </c>
      <c r="G76" s="13" t="b">
        <v>1</v>
      </c>
      <c r="H76" s="13"/>
      <c r="I76" s="11" t="s">
        <v>30</v>
      </c>
      <c r="J76" s="16" t="str">
        <f t="shared" si="3"/>
        <v>_TESTING WizardWrx Libs\SharedUtl2\SharedUtl2_Test_Harness\SharedUtl2_Test_Harness</v>
      </c>
    </row>
    <row r="77" spans="1:10" x14ac:dyDescent="0.25">
      <c r="A77" s="10" t="s">
        <v>79</v>
      </c>
      <c r="B77" s="10" t="str">
        <f>[1]!GetFolder(A77)</f>
        <v>C:\Documents and Settings\DAG\My Documents\Visual Studio 2010\Projects\_TESTING WizardWrx Libs\SharedUtl2\SharedUtl2_Test_Harness\SharedUtl2_Test_Harness</v>
      </c>
      <c r="C77" s="10" t="str">
        <f>IF(LEN(B77)&gt;LEN(Visual_Studio_Source_Code),RIGHT(B77,LEN(B77)-LEN([1]!AddBackslash(Visual_Studio_Source_Code))),B77)</f>
        <v>_TESTING WizardWrx Libs\SharedUtl2\SharedUtl2_Test_Harness\SharedUtl2_Test_Harness</v>
      </c>
      <c r="D77" s="10" t="str">
        <f>[1]!GetFile(A77)</f>
        <v>HTMLDocsDivisonsWorkout.cs</v>
      </c>
      <c r="E77" s="13">
        <v>171</v>
      </c>
      <c r="F77" s="13" t="b">
        <f t="shared" si="2"/>
        <v>1</v>
      </c>
      <c r="G77" s="13" t="b">
        <v>1</v>
      </c>
      <c r="H77" s="13"/>
      <c r="I77" s="11" t="s">
        <v>30</v>
      </c>
      <c r="J77" s="16" t="str">
        <f t="shared" si="3"/>
        <v>_TESTING WizardWrx Libs\SharedUtl2\SharedUtl2_Test_Harness\SharedUtl2_Test_Harness</v>
      </c>
    </row>
    <row r="78" spans="1:10" x14ac:dyDescent="0.25">
      <c r="A78" s="10" t="s">
        <v>79</v>
      </c>
      <c r="B78" s="10" t="str">
        <f>[1]!GetFolder(A78)</f>
        <v>C:\Documents and Settings\DAG\My Documents\Visual Studio 2010\Projects\_TESTING WizardWrx Libs\SharedUtl2\SharedUtl2_Test_Harness\SharedUtl2_Test_Harness</v>
      </c>
      <c r="C78" s="10" t="str">
        <f>IF(LEN(B78)&gt;LEN(Visual_Studio_Source_Code),RIGHT(B78,LEN(B78)-LEN([1]!AddBackslash(Visual_Studio_Source_Code))),B78)</f>
        <v>_TESTING WizardWrx Libs\SharedUtl2\SharedUtl2_Test_Harness\SharedUtl2_Test_Harness</v>
      </c>
      <c r="D78" s="10" t="str">
        <f>[1]!GetFile(A78)</f>
        <v>HTMLDocsDivisonsWorkout.cs</v>
      </c>
      <c r="E78" s="13">
        <v>206</v>
      </c>
      <c r="F78" s="13" t="b">
        <f t="shared" si="2"/>
        <v>1</v>
      </c>
      <c r="G78" s="13" t="b">
        <v>1</v>
      </c>
      <c r="H78" s="13"/>
      <c r="I78" s="11" t="s">
        <v>30</v>
      </c>
      <c r="J78" s="16" t="str">
        <f t="shared" si="3"/>
        <v>_TESTING WizardWrx Libs\SharedUtl2\SharedUtl2_Test_Harness\SharedUtl2_Test_Harness</v>
      </c>
    </row>
    <row r="79" spans="1:10" x14ac:dyDescent="0.25">
      <c r="A79" s="10" t="s">
        <v>79</v>
      </c>
      <c r="B79" s="10" t="str">
        <f>[1]!GetFolder(A79)</f>
        <v>C:\Documents and Settings\DAG\My Documents\Visual Studio 2010\Projects\_TESTING WizardWrx Libs\SharedUtl2\SharedUtl2_Test_Harness\SharedUtl2_Test_Harness</v>
      </c>
      <c r="C79" s="10" t="str">
        <f>IF(LEN(B79)&gt;LEN(Visual_Studio_Source_Code),RIGHT(B79,LEN(B79)-LEN([1]!AddBackslash(Visual_Studio_Source_Code))),B79)</f>
        <v>_TESTING WizardWrx Libs\SharedUtl2\SharedUtl2_Test_Harness\SharedUtl2_Test_Harness</v>
      </c>
      <c r="D79" s="10" t="str">
        <f>[1]!GetFile(A79)</f>
        <v>HTMLDocsDivisonsWorkout.cs</v>
      </c>
      <c r="E79" s="13">
        <v>212</v>
      </c>
      <c r="F79" s="13" t="b">
        <f t="shared" si="2"/>
        <v>1</v>
      </c>
      <c r="G79" s="13" t="b">
        <v>1</v>
      </c>
      <c r="H79" s="13"/>
      <c r="I79" s="11" t="s">
        <v>30</v>
      </c>
      <c r="J79" s="16" t="str">
        <f t="shared" si="3"/>
        <v>_TESTING WizardWrx Libs\SharedUtl2\SharedUtl2_Test_Harness\SharedUtl2_Test_Harness</v>
      </c>
    </row>
    <row r="80" spans="1:10" x14ac:dyDescent="0.25">
      <c r="A80" s="10" t="s">
        <v>79</v>
      </c>
      <c r="B80" s="10" t="str">
        <f>[1]!GetFolder(A80)</f>
        <v>C:\Documents and Settings\DAG\My Documents\Visual Studio 2010\Projects\_TESTING WizardWrx Libs\SharedUtl2\SharedUtl2_Test_Harness\SharedUtl2_Test_Harness</v>
      </c>
      <c r="C80" s="10" t="str">
        <f>IF(LEN(B80)&gt;LEN(Visual_Studio_Source_Code),RIGHT(B80,LEN(B80)-LEN([1]!AddBackslash(Visual_Studio_Source_Code))),B80)</f>
        <v>_TESTING WizardWrx Libs\SharedUtl2\SharedUtl2_Test_Harness\SharedUtl2_Test_Harness</v>
      </c>
      <c r="D80" s="10" t="str">
        <f>[1]!GetFile(A80)</f>
        <v>HTMLDocsDivisonsWorkout.cs</v>
      </c>
      <c r="E80" s="13">
        <v>218</v>
      </c>
      <c r="F80" s="13" t="b">
        <f t="shared" si="2"/>
        <v>1</v>
      </c>
      <c r="G80" s="13" t="b">
        <v>1</v>
      </c>
      <c r="H80" s="13"/>
      <c r="I80" s="11" t="s">
        <v>30</v>
      </c>
      <c r="J80" s="16" t="str">
        <f t="shared" si="3"/>
        <v>_TESTING WizardWrx Libs\SharedUtl2\SharedUtl2_Test_Harness\SharedUtl2_Test_Harness</v>
      </c>
    </row>
    <row r="81" spans="1:10" x14ac:dyDescent="0.25">
      <c r="A81" s="10" t="s">
        <v>79</v>
      </c>
      <c r="B81" s="10" t="str">
        <f>[1]!GetFolder(A81)</f>
        <v>C:\Documents and Settings\DAG\My Documents\Visual Studio 2010\Projects\_TESTING WizardWrx Libs\SharedUtl2\SharedUtl2_Test_Harness\SharedUtl2_Test_Harness</v>
      </c>
      <c r="C81" s="10" t="str">
        <f>IF(LEN(B81)&gt;LEN(Visual_Studio_Source_Code),RIGHT(B81,LEN(B81)-LEN([1]!AddBackslash(Visual_Studio_Source_Code))),B81)</f>
        <v>_TESTING WizardWrx Libs\SharedUtl2\SharedUtl2_Test_Harness\SharedUtl2_Test_Harness</v>
      </c>
      <c r="D81" s="10" t="str">
        <f>[1]!GetFile(A81)</f>
        <v>HTMLDocsDivisonsWorkout.cs</v>
      </c>
      <c r="E81" s="13">
        <v>224</v>
      </c>
      <c r="F81" s="13" t="b">
        <f t="shared" si="2"/>
        <v>1</v>
      </c>
      <c r="G81" s="13" t="b">
        <v>1</v>
      </c>
      <c r="H81" s="13"/>
      <c r="I81" s="11" t="s">
        <v>30</v>
      </c>
      <c r="J81" s="16" t="str">
        <f t="shared" si="3"/>
        <v>_TESTING WizardWrx Libs\SharedUtl2\SharedUtl2_Test_Harness\SharedUtl2_Test_Harness</v>
      </c>
    </row>
    <row r="82" spans="1:10" x14ac:dyDescent="0.25">
      <c r="A82" s="10" t="s">
        <v>79</v>
      </c>
      <c r="B82" s="10" t="str">
        <f>[1]!GetFolder(A82)</f>
        <v>C:\Documents and Settings\DAG\My Documents\Visual Studio 2010\Projects\_TESTING WizardWrx Libs\SharedUtl2\SharedUtl2_Test_Harness\SharedUtl2_Test_Harness</v>
      </c>
      <c r="C82" s="10" t="str">
        <f>IF(LEN(B82)&gt;LEN(Visual_Studio_Source_Code),RIGHT(B82,LEN(B82)-LEN([1]!AddBackslash(Visual_Studio_Source_Code))),B82)</f>
        <v>_TESTING WizardWrx Libs\SharedUtl2\SharedUtl2_Test_Harness\SharedUtl2_Test_Harness</v>
      </c>
      <c r="D82" s="10" t="str">
        <f>[1]!GetFile(A82)</f>
        <v>HTMLDocsDivisonsWorkout.cs</v>
      </c>
      <c r="E82" s="13">
        <v>297</v>
      </c>
      <c r="F82" s="13" t="b">
        <f t="shared" si="2"/>
        <v>1</v>
      </c>
      <c r="G82" s="13" t="b">
        <v>1</v>
      </c>
      <c r="H82" s="13"/>
      <c r="I82" s="11" t="s">
        <v>30</v>
      </c>
      <c r="J82" s="16" t="str">
        <f t="shared" si="3"/>
        <v>_TESTING WizardWrx Libs\SharedUtl2\SharedUtl2_Test_Harness\SharedUtl2_Test_Harness</v>
      </c>
    </row>
    <row r="83" spans="1:10" x14ac:dyDescent="0.25">
      <c r="A83" s="10" t="s">
        <v>79</v>
      </c>
      <c r="B83" s="10" t="str">
        <f>[1]!GetFolder(A83)</f>
        <v>C:\Documents and Settings\DAG\My Documents\Visual Studio 2010\Projects\_TESTING WizardWrx Libs\SharedUtl2\SharedUtl2_Test_Harness\SharedUtl2_Test_Harness</v>
      </c>
      <c r="C83" s="10" t="str">
        <f>IF(LEN(B83)&gt;LEN(Visual_Studio_Source_Code),RIGHT(B83,LEN(B83)-LEN([1]!AddBackslash(Visual_Studio_Source_Code))),B83)</f>
        <v>_TESTING WizardWrx Libs\SharedUtl2\SharedUtl2_Test_Harness\SharedUtl2_Test_Harness</v>
      </c>
      <c r="D83" s="10" t="str">
        <f>[1]!GetFile(A83)</f>
        <v>HTMLDocsDivisonsWorkout.cs</v>
      </c>
      <c r="E83" s="13">
        <v>303</v>
      </c>
      <c r="F83" s="13" t="b">
        <f t="shared" si="2"/>
        <v>1</v>
      </c>
      <c r="G83" s="13" t="b">
        <v>1</v>
      </c>
      <c r="H83" s="13"/>
      <c r="I83" s="11" t="s">
        <v>30</v>
      </c>
      <c r="J83" s="16" t="str">
        <f t="shared" si="3"/>
        <v>_TESTING WizardWrx Libs\SharedUtl2\SharedUtl2_Test_Harness\SharedUtl2_Test_Harness</v>
      </c>
    </row>
    <row r="84" spans="1:10" x14ac:dyDescent="0.25">
      <c r="A84" s="10" t="s">
        <v>79</v>
      </c>
      <c r="B84" s="10" t="str">
        <f>[1]!GetFolder(A84)</f>
        <v>C:\Documents and Settings\DAG\My Documents\Visual Studio 2010\Projects\_TESTING WizardWrx Libs\SharedUtl2\SharedUtl2_Test_Harness\SharedUtl2_Test_Harness</v>
      </c>
      <c r="C84" s="10" t="str">
        <f>IF(LEN(B84)&gt;LEN(Visual_Studio_Source_Code),RIGHT(B84,LEN(B84)-LEN([1]!AddBackslash(Visual_Studio_Source_Code))),B84)</f>
        <v>_TESTING WizardWrx Libs\SharedUtl2\SharedUtl2_Test_Harness\SharedUtl2_Test_Harness</v>
      </c>
      <c r="D84" s="10" t="str">
        <f>[1]!GetFile(A84)</f>
        <v>HTMLDocsDivisonsWorkout.cs</v>
      </c>
      <c r="E84" s="13">
        <v>309</v>
      </c>
      <c r="F84" s="13" t="b">
        <f t="shared" si="2"/>
        <v>1</v>
      </c>
      <c r="G84" s="13" t="b">
        <v>1</v>
      </c>
      <c r="H84" s="13"/>
      <c r="I84" s="11" t="s">
        <v>30</v>
      </c>
      <c r="J84" s="16" t="str">
        <f t="shared" si="3"/>
        <v>_TESTING WizardWrx Libs\SharedUtl2\SharedUtl2_Test_Harness\SharedUtl2_Test_Harness</v>
      </c>
    </row>
    <row r="85" spans="1:10" x14ac:dyDescent="0.25">
      <c r="A85" s="10" t="s">
        <v>79</v>
      </c>
      <c r="B85" s="10" t="str">
        <f>[1]!GetFolder(A85)</f>
        <v>C:\Documents and Settings\DAG\My Documents\Visual Studio 2010\Projects\_TESTING WizardWrx Libs\SharedUtl2\SharedUtl2_Test_Harness\SharedUtl2_Test_Harness</v>
      </c>
      <c r="C85" s="10" t="str">
        <f>IF(LEN(B85)&gt;LEN(Visual_Studio_Source_Code),RIGHT(B85,LEN(B85)-LEN([1]!AddBackslash(Visual_Studio_Source_Code))),B85)</f>
        <v>_TESTING WizardWrx Libs\SharedUtl2\SharedUtl2_Test_Harness\SharedUtl2_Test_Harness</v>
      </c>
      <c r="D85" s="10" t="str">
        <f>[1]!GetFile(A85)</f>
        <v>HTMLDocsDivisonsWorkout.cs</v>
      </c>
      <c r="E85" s="13">
        <v>315</v>
      </c>
      <c r="F85" s="13" t="b">
        <f t="shared" si="2"/>
        <v>1</v>
      </c>
      <c r="G85" s="13" t="b">
        <v>1</v>
      </c>
      <c r="H85" s="13"/>
      <c r="I85" s="11" t="s">
        <v>30</v>
      </c>
      <c r="J85" s="16" t="str">
        <f t="shared" si="3"/>
        <v>_TESTING WizardWrx Libs\SharedUtl2\SharedUtl2_Test_Harness\SharedUtl2_Test_Harness</v>
      </c>
    </row>
    <row r="86" spans="1:10" x14ac:dyDescent="0.25">
      <c r="A86" s="10" t="s">
        <v>80</v>
      </c>
      <c r="B86" s="10" t="str">
        <f>[1]!GetFolder(A86)</f>
        <v>C:\Documents and Settings\DAG\My Documents\Visual Studio 2010\Projects\_TESTING WizardWrx Libs\SharedUtl2\SharedUtl2_Test_Harness\SharedUtl2_Test_Harness</v>
      </c>
      <c r="C86" s="10" t="str">
        <f>IF(LEN(B86)&gt;LEN(Visual_Studio_Source_Code),RIGHT(B86,LEN(B86)-LEN([1]!AddBackslash(Visual_Studio_Source_Code))),B86)</f>
        <v>_TESTING WizardWrx Libs\SharedUtl2\SharedUtl2_Test_Harness\SharedUtl2_Test_Harness</v>
      </c>
      <c r="D86" s="10" t="str">
        <f>[1]!GetFile(A86)</f>
        <v>WholeFileReader.cs</v>
      </c>
      <c r="E86" s="13">
        <v>83</v>
      </c>
      <c r="F86" s="13" t="b">
        <f t="shared" si="2"/>
        <v>1</v>
      </c>
      <c r="G86" s="13" t="b">
        <v>1</v>
      </c>
      <c r="H86" s="13"/>
      <c r="I86" s="11" t="s">
        <v>17</v>
      </c>
      <c r="J86" s="16" t="str">
        <f t="shared" si="3"/>
        <v>_TESTING WizardWrx Libs\SharedUtl2\SharedUtl2_Test_Harness\SharedUtl2_Test_Harness</v>
      </c>
    </row>
    <row r="87" spans="1:10" x14ac:dyDescent="0.25">
      <c r="A87" s="10" t="s">
        <v>80</v>
      </c>
      <c r="B87" s="10" t="str">
        <f>[1]!GetFolder(A87)</f>
        <v>C:\Documents and Settings\DAG\My Documents\Visual Studio 2010\Projects\_TESTING WizardWrx Libs\SharedUtl2\SharedUtl2_Test_Harness\SharedUtl2_Test_Harness</v>
      </c>
      <c r="C87" s="10" t="str">
        <f>IF(LEN(B87)&gt;LEN(Visual_Studio_Source_Code),RIGHT(B87,LEN(B87)-LEN([1]!AddBackslash(Visual_Studio_Source_Code))),B87)</f>
        <v>_TESTING WizardWrx Libs\SharedUtl2\SharedUtl2_Test_Harness\SharedUtl2_Test_Harness</v>
      </c>
      <c r="D87" s="10" t="str">
        <f>[1]!GetFile(A87)</f>
        <v>WholeFileReader.cs</v>
      </c>
      <c r="E87" s="13">
        <v>89</v>
      </c>
      <c r="F87" s="13" t="b">
        <f t="shared" si="2"/>
        <v>1</v>
      </c>
      <c r="G87" s="13" t="b">
        <v>1</v>
      </c>
      <c r="H87" s="13"/>
      <c r="I87" s="11" t="s">
        <v>17</v>
      </c>
      <c r="J87" s="16" t="str">
        <f t="shared" si="3"/>
        <v>_TESTING WizardWrx Libs\SharedUtl2\SharedUtl2_Test_Harness\SharedUtl2_Test_Harness</v>
      </c>
    </row>
    <row r="88" spans="1:10" x14ac:dyDescent="0.25">
      <c r="A88" s="10" t="s">
        <v>80</v>
      </c>
      <c r="B88" s="10" t="str">
        <f>[1]!GetFolder(A88)</f>
        <v>C:\Documents and Settings\DAG\My Documents\Visual Studio 2010\Projects\_TESTING WizardWrx Libs\SharedUtl2\SharedUtl2_Test_Harness\SharedUtl2_Test_Harness</v>
      </c>
      <c r="C88" s="10" t="str">
        <f>IF(LEN(B88)&gt;LEN(Visual_Studio_Source_Code),RIGHT(B88,LEN(B88)-LEN([1]!AddBackslash(Visual_Studio_Source_Code))),B88)</f>
        <v>_TESTING WizardWrx Libs\SharedUtl2\SharedUtl2_Test_Harness\SharedUtl2_Test_Harness</v>
      </c>
      <c r="D88" s="10" t="str">
        <f>[1]!GetFile(A88)</f>
        <v>WholeFileReader.cs</v>
      </c>
      <c r="E88" s="13">
        <v>109</v>
      </c>
      <c r="F88" s="13" t="b">
        <f t="shared" si="2"/>
        <v>1</v>
      </c>
      <c r="G88" s="13" t="b">
        <v>1</v>
      </c>
      <c r="H88" s="13"/>
      <c r="I88" s="11" t="s">
        <v>17</v>
      </c>
      <c r="J88" s="16" t="str">
        <f t="shared" si="3"/>
        <v>_TESTING WizardWrx Libs\SharedUtl2\SharedUtl2_Test_Harness\SharedUtl2_Test_Harness</v>
      </c>
    </row>
    <row r="89" spans="1:10" x14ac:dyDescent="0.25">
      <c r="A89" s="10" t="s">
        <v>80</v>
      </c>
      <c r="B89" s="10" t="str">
        <f>[1]!GetFolder(A89)</f>
        <v>C:\Documents and Settings\DAG\My Documents\Visual Studio 2010\Projects\_TESTING WizardWrx Libs\SharedUtl2\SharedUtl2_Test_Harness\SharedUtl2_Test_Harness</v>
      </c>
      <c r="C89" s="10" t="str">
        <f>IF(LEN(B89)&gt;LEN(Visual_Studio_Source_Code),RIGHT(B89,LEN(B89)-LEN([1]!AddBackslash(Visual_Studio_Source_Code))),B89)</f>
        <v>_TESTING WizardWrx Libs\SharedUtl2\SharedUtl2_Test_Harness\SharedUtl2_Test_Harness</v>
      </c>
      <c r="D89" s="10" t="str">
        <f>[1]!GetFile(A89)</f>
        <v>WholeFileReader.cs</v>
      </c>
      <c r="E89" s="13">
        <v>115</v>
      </c>
      <c r="F89" s="13" t="b">
        <f t="shared" si="2"/>
        <v>1</v>
      </c>
      <c r="G89" s="13" t="b">
        <v>1</v>
      </c>
      <c r="H89" s="13"/>
      <c r="I89" s="11" t="s">
        <v>17</v>
      </c>
      <c r="J89" s="16" t="str">
        <f t="shared" si="3"/>
        <v>_TESTING WizardWrx Libs\SharedUtl2\SharedUtl2_Test_Harness\SharedUtl2_Test_Harness</v>
      </c>
    </row>
    <row r="90" spans="1:10" x14ac:dyDescent="0.25">
      <c r="A90" s="10" t="s">
        <v>80</v>
      </c>
      <c r="B90" s="10" t="str">
        <f>[1]!GetFolder(A90)</f>
        <v>C:\Documents and Settings\DAG\My Documents\Visual Studio 2010\Projects\_TESTING WizardWrx Libs\SharedUtl2\SharedUtl2_Test_Harness\SharedUtl2_Test_Harness</v>
      </c>
      <c r="C90" s="10" t="str">
        <f>IF(LEN(B90)&gt;LEN(Visual_Studio_Source_Code),RIGHT(B90,LEN(B90)-LEN([1]!AddBackslash(Visual_Studio_Source_Code))),B90)</f>
        <v>_TESTING WizardWrx Libs\SharedUtl2\SharedUtl2_Test_Harness\SharedUtl2_Test_Harness</v>
      </c>
      <c r="D90" s="10" t="str">
        <f>[1]!GetFile(A90)</f>
        <v>WholeFileReader.cs</v>
      </c>
      <c r="E90" s="13">
        <v>138</v>
      </c>
      <c r="F90" s="13" t="b">
        <f t="shared" si="2"/>
        <v>1</v>
      </c>
      <c r="G90" s="13" t="b">
        <v>1</v>
      </c>
      <c r="H90" s="13"/>
      <c r="I90" s="11" t="s">
        <v>17</v>
      </c>
      <c r="J90" s="16" t="str">
        <f t="shared" si="3"/>
        <v>_TESTING WizardWrx Libs\SharedUtl2\SharedUtl2_Test_Harness\SharedUtl2_Test_Harness</v>
      </c>
    </row>
    <row r="91" spans="1:10" x14ac:dyDescent="0.25">
      <c r="A91" s="10" t="s">
        <v>80</v>
      </c>
      <c r="B91" s="10" t="str">
        <f>[1]!GetFolder(A91)</f>
        <v>C:\Documents and Settings\DAG\My Documents\Visual Studio 2010\Projects\_TESTING WizardWrx Libs\SharedUtl2\SharedUtl2_Test_Harness\SharedUtl2_Test_Harness</v>
      </c>
      <c r="C91" s="10" t="str">
        <f>IF(LEN(B91)&gt;LEN(Visual_Studio_Source_Code),RIGHT(B91,LEN(B91)-LEN([1]!AddBackslash(Visual_Studio_Source_Code))),B91)</f>
        <v>_TESTING WizardWrx Libs\SharedUtl2\SharedUtl2_Test_Harness\SharedUtl2_Test_Harness</v>
      </c>
      <c r="D91" s="10" t="str">
        <f>[1]!GetFile(A91)</f>
        <v>WholeFileReader.cs</v>
      </c>
      <c r="E91" s="13">
        <v>144</v>
      </c>
      <c r="F91" s="13" t="b">
        <f t="shared" si="2"/>
        <v>1</v>
      </c>
      <c r="G91" s="13" t="b">
        <v>1</v>
      </c>
      <c r="H91" s="13"/>
      <c r="I91" s="11" t="s">
        <v>17</v>
      </c>
      <c r="J91" s="16" t="str">
        <f t="shared" si="3"/>
        <v>_TESTING WizardWrx Libs\SharedUtl2\SharedUtl2_Test_Harness\SharedUtl2_Test_Harness</v>
      </c>
    </row>
  </sheetData>
  <conditionalFormatting sqref="A2:J2">
    <cfRule type="expression" dxfId="5" priority="3">
      <formula>OR($G2=TRUE,$H2=TRUE)</formula>
    </cfRule>
    <cfRule type="expression" dxfId="4" priority="6">
      <formula>FIND(" ThreadSafeExceptionReporting",$I2)</formula>
    </cfRule>
  </conditionalFormatting>
  <conditionalFormatting sqref="A3:J3">
    <cfRule type="expression" dxfId="3" priority="4">
      <formula>OR($G3=TRUE,$H3=TRUE)</formula>
    </cfRule>
    <cfRule type="expression" dxfId="2" priority="5">
      <formula>$F3=TRUE</formula>
    </cfRule>
  </conditionalFormatting>
  <conditionalFormatting sqref="A4:J24 A30:J91">
    <cfRule type="expression" dxfId="1" priority="1">
      <formula>OR($G4=TRUE,$H4=TRUE)</formula>
    </cfRule>
    <cfRule type="expression" dxfId="0" priority="2">
      <formula>$F4=TRUE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I65"/>
  <sheetViews>
    <sheetView topLeftCell="B1" workbookViewId="0">
      <pane xSplit="3" ySplit="1" topLeftCell="E2" activePane="bottomRight" state="frozen"/>
      <selection activeCell="B1" sqref="B1"/>
      <selection pane="topRight" activeCell="E1" sqref="E1"/>
      <selection pane="bottomLeft" activeCell="B2" sqref="B2"/>
      <selection pane="bottomRight" activeCell="E6" sqref="E6"/>
    </sheetView>
  </sheetViews>
  <sheetFormatPr defaultRowHeight="15" x14ac:dyDescent="0.25"/>
  <cols>
    <col min="3" max="3" width="150.125" hidden="1" customWidth="1"/>
    <col min="4" max="4" width="143.875" hidden="1" customWidth="1"/>
    <col min="5" max="5" width="108.875" bestFit="1" customWidth="1"/>
    <col min="6" max="6" width="22.25" bestFit="1" customWidth="1"/>
    <col min="7" max="7" width="5.375" bestFit="1" customWidth="1"/>
    <col min="9" max="9" width="16" bestFit="1" customWidth="1"/>
  </cols>
  <sheetData>
    <row r="1" spans="1:9" ht="15.75" x14ac:dyDescent="0.25">
      <c r="A1" s="35" t="s">
        <v>685</v>
      </c>
      <c r="B1" s="35" t="s">
        <v>686</v>
      </c>
      <c r="C1" s="35" t="s">
        <v>691</v>
      </c>
      <c r="D1" s="35" t="s">
        <v>689</v>
      </c>
      <c r="E1" s="35" t="s">
        <v>692</v>
      </c>
      <c r="F1" s="35" t="s">
        <v>690</v>
      </c>
      <c r="G1" s="35" t="s">
        <v>10</v>
      </c>
      <c r="H1" s="35" t="s">
        <v>687</v>
      </c>
      <c r="I1" s="35" t="s">
        <v>688</v>
      </c>
    </row>
    <row r="2" spans="1:9" x14ac:dyDescent="0.25">
      <c r="A2" s="36" t="s">
        <v>675</v>
      </c>
      <c r="B2" s="36">
        <v>57</v>
      </c>
      <c r="C2" s="36" t="s">
        <v>676</v>
      </c>
      <c r="D2" s="36" t="s">
        <v>677</v>
      </c>
      <c r="E2" s="36" t="str">
        <f>SUBSTITUTE(SUBSTITUTE(C2,"(are you missing a using directive or an assembly reference?)",""),"(are you missing an assembly reference?)","")</f>
        <v xml:space="preserve">The type or namespace name 'StateManagerExceptionLogger' could not be found </v>
      </c>
      <c r="F2" s="36" t="str">
        <f>[1]!GetFile(D2)</f>
        <v>Program.cs</v>
      </c>
      <c r="G2" s="36">
        <v>1462</v>
      </c>
      <c r="H2" s="36">
        <v>17</v>
      </c>
      <c r="I2" s="36" t="s">
        <v>678</v>
      </c>
    </row>
    <row r="3" spans="1:9" x14ac:dyDescent="0.25">
      <c r="A3" s="36" t="s">
        <v>675</v>
      </c>
      <c r="B3" s="36">
        <v>2</v>
      </c>
      <c r="C3" s="36" t="s">
        <v>679</v>
      </c>
      <c r="D3" s="36" t="s">
        <v>680</v>
      </c>
      <c r="E3" s="36" t="str">
        <f t="shared" ref="E3:E65" si="0">SUBSTITUTE(SUBSTITUTE(C3,"(are you missing a using directive or an assembly reference?)",""),"(are you missing an assembly reference?)","")</f>
        <v xml:space="preserve">The type or namespace name 'MessageInColor' could not be found </v>
      </c>
      <c r="F3" s="36" t="str">
        <f>[1]!GetFile(D3)</f>
        <v>FixedConsoleWriter.cs</v>
      </c>
      <c r="G3" s="36">
        <v>107</v>
      </c>
      <c r="H3" s="36">
        <v>9</v>
      </c>
      <c r="I3" s="36" t="s">
        <v>681</v>
      </c>
    </row>
    <row r="4" spans="1:9" x14ac:dyDescent="0.25">
      <c r="A4" s="36" t="s">
        <v>675</v>
      </c>
      <c r="B4" s="36">
        <v>3</v>
      </c>
      <c r="C4" s="36" t="s">
        <v>679</v>
      </c>
      <c r="D4" s="36" t="s">
        <v>680</v>
      </c>
      <c r="E4" s="36" t="str">
        <f t="shared" si="0"/>
        <v xml:space="preserve">The type or namespace name 'MessageInColor' could not be found </v>
      </c>
      <c r="F4" s="36" t="str">
        <f>[1]!GetFile(D4)</f>
        <v>FixedConsoleWriter.cs</v>
      </c>
      <c r="G4" s="36">
        <v>124</v>
      </c>
      <c r="H4" s="36">
        <v>23</v>
      </c>
      <c r="I4" s="36" t="s">
        <v>681</v>
      </c>
    </row>
    <row r="5" spans="1:9" x14ac:dyDescent="0.25">
      <c r="A5" s="36" t="s">
        <v>675</v>
      </c>
      <c r="B5" s="36">
        <v>4</v>
      </c>
      <c r="C5" s="36" t="s">
        <v>679</v>
      </c>
      <c r="D5" s="36" t="s">
        <v>680</v>
      </c>
      <c r="E5" s="36" t="str">
        <f t="shared" si="0"/>
        <v xml:space="preserve">The type or namespace name 'MessageInColor' could not be found </v>
      </c>
      <c r="F5" s="36" t="str">
        <f>[1]!GetFile(D5)</f>
        <v>FixedConsoleWriter.cs</v>
      </c>
      <c r="G5" s="36">
        <v>147</v>
      </c>
      <c r="H5" s="36">
        <v>23</v>
      </c>
      <c r="I5" s="36" t="s">
        <v>681</v>
      </c>
    </row>
    <row r="6" spans="1:9" x14ac:dyDescent="0.25">
      <c r="A6" s="36" t="s">
        <v>675</v>
      </c>
      <c r="B6" s="36">
        <v>5</v>
      </c>
      <c r="C6" s="36" t="s">
        <v>682</v>
      </c>
      <c r="D6" s="36" t="s">
        <v>677</v>
      </c>
      <c r="E6" s="36" t="str">
        <f t="shared" si="0"/>
        <v xml:space="preserve">The type or namespace name 'DLLServices' does not exist in the namespace 'WizardWrx.ApplicationHelpers2' </v>
      </c>
      <c r="F6" s="36" t="str">
        <f>[1]!GetFile(D6)</f>
        <v>Program.cs</v>
      </c>
      <c r="G6" s="36">
        <v>62</v>
      </c>
      <c r="H6" s="36">
        <v>37</v>
      </c>
      <c r="I6" s="36" t="s">
        <v>678</v>
      </c>
    </row>
    <row r="7" spans="1:9" x14ac:dyDescent="0.25">
      <c r="A7" s="36" t="s">
        <v>675</v>
      </c>
      <c r="B7" s="36">
        <v>6</v>
      </c>
      <c r="C7" s="36" t="s">
        <v>682</v>
      </c>
      <c r="D7" s="36" t="s">
        <v>677</v>
      </c>
      <c r="E7" s="36" t="str">
        <f t="shared" si="0"/>
        <v xml:space="preserve">The type or namespace name 'DLLServices' does not exist in the namespace 'WizardWrx.ApplicationHelpers2' </v>
      </c>
      <c r="F7" s="36" t="str">
        <f>[1]!GetFile(D7)</f>
        <v>Program.cs</v>
      </c>
      <c r="G7" s="36">
        <v>102</v>
      </c>
      <c r="H7" s="36">
        <v>46</v>
      </c>
      <c r="I7" s="36" t="s">
        <v>678</v>
      </c>
    </row>
    <row r="8" spans="1:9" x14ac:dyDescent="0.25">
      <c r="A8" s="36" t="s">
        <v>675</v>
      </c>
      <c r="B8" s="36">
        <v>7</v>
      </c>
      <c r="C8" s="36" t="s">
        <v>682</v>
      </c>
      <c r="D8" s="36" t="s">
        <v>677</v>
      </c>
      <c r="E8" s="36" t="str">
        <f t="shared" si="0"/>
        <v xml:space="preserve">The type or namespace name 'DLLServices' does not exist in the namespace 'WizardWrx.ApplicationHelpers2' </v>
      </c>
      <c r="F8" s="36" t="str">
        <f>[1]!GetFile(D8)</f>
        <v>Program.cs</v>
      </c>
      <c r="G8" s="36">
        <v>105</v>
      </c>
      <c r="H8" s="36">
        <v>47</v>
      </c>
      <c r="I8" s="36" t="s">
        <v>678</v>
      </c>
    </row>
    <row r="9" spans="1:9" x14ac:dyDescent="0.25">
      <c r="A9" s="36" t="s">
        <v>675</v>
      </c>
      <c r="B9" s="36">
        <v>8</v>
      </c>
      <c r="C9" s="36" t="s">
        <v>682</v>
      </c>
      <c r="D9" s="36" t="s">
        <v>677</v>
      </c>
      <c r="E9" s="36" t="str">
        <f t="shared" si="0"/>
        <v xml:space="preserve">The type or namespace name 'DLLServices' does not exist in the namespace 'WizardWrx.ApplicationHelpers2' </v>
      </c>
      <c r="F9" s="36" t="str">
        <f>[1]!GetFile(D9)</f>
        <v>Program.cs</v>
      </c>
      <c r="G9" s="36">
        <v>108</v>
      </c>
      <c r="H9" s="36">
        <v>47</v>
      </c>
      <c r="I9" s="36" t="s">
        <v>678</v>
      </c>
    </row>
    <row r="10" spans="1:9" x14ac:dyDescent="0.25">
      <c r="A10" s="36" t="s">
        <v>675</v>
      </c>
      <c r="B10" s="36">
        <v>9</v>
      </c>
      <c r="C10" s="36" t="s">
        <v>682</v>
      </c>
      <c r="D10" s="36" t="s">
        <v>677</v>
      </c>
      <c r="E10" s="36" t="str">
        <f t="shared" si="0"/>
        <v xml:space="preserve">The type or namespace name 'DLLServices' does not exist in the namespace 'WizardWrx.ApplicationHelpers2' </v>
      </c>
      <c r="F10" s="36" t="str">
        <f>[1]!GetFile(D10)</f>
        <v>Program.cs</v>
      </c>
      <c r="G10" s="36">
        <v>111</v>
      </c>
      <c r="H10" s="36">
        <v>47</v>
      </c>
      <c r="I10" s="36" t="s">
        <v>678</v>
      </c>
    </row>
    <row r="11" spans="1:9" x14ac:dyDescent="0.25">
      <c r="A11" s="36" t="s">
        <v>675</v>
      </c>
      <c r="B11" s="36">
        <v>10</v>
      </c>
      <c r="C11" s="36" t="s">
        <v>682</v>
      </c>
      <c r="D11" s="36" t="s">
        <v>677</v>
      </c>
      <c r="E11" s="36" t="str">
        <f t="shared" si="0"/>
        <v xml:space="preserve">The type or namespace name 'DLLServices' does not exist in the namespace 'WizardWrx.ApplicationHelpers2' </v>
      </c>
      <c r="F11" s="36" t="str">
        <f>[1]!GetFile(D11)</f>
        <v>Program.cs</v>
      </c>
      <c r="G11" s="36">
        <v>114</v>
      </c>
      <c r="H11" s="36">
        <v>47</v>
      </c>
      <c r="I11" s="36" t="s">
        <v>678</v>
      </c>
    </row>
    <row r="12" spans="1:9" x14ac:dyDescent="0.25">
      <c r="A12" s="36" t="s">
        <v>675</v>
      </c>
      <c r="B12" s="36">
        <v>11</v>
      </c>
      <c r="C12" s="36" t="s">
        <v>682</v>
      </c>
      <c r="D12" s="36" t="s">
        <v>677</v>
      </c>
      <c r="E12" s="36" t="str">
        <f t="shared" si="0"/>
        <v xml:space="preserve">The type or namespace name 'DLLServices' does not exist in the namespace 'WizardWrx.ApplicationHelpers2' </v>
      </c>
      <c r="F12" s="36" t="str">
        <f>[1]!GetFile(D12)</f>
        <v>Program.cs</v>
      </c>
      <c r="G12" s="36">
        <v>329</v>
      </c>
      <c r="H12" s="36">
        <v>55</v>
      </c>
      <c r="I12" s="36" t="s">
        <v>678</v>
      </c>
    </row>
    <row r="13" spans="1:9" x14ac:dyDescent="0.25">
      <c r="A13" s="36" t="s">
        <v>675</v>
      </c>
      <c r="B13" s="36">
        <v>12</v>
      </c>
      <c r="C13" s="36" t="s">
        <v>682</v>
      </c>
      <c r="D13" s="36" t="s">
        <v>677</v>
      </c>
      <c r="E13" s="36" t="str">
        <f t="shared" si="0"/>
        <v xml:space="preserve">The type or namespace name 'DLLServices' does not exist in the namespace 'WizardWrx.ApplicationHelpers2' </v>
      </c>
      <c r="F13" s="36" t="str">
        <f>[1]!GetFile(D13)</f>
        <v>Program.cs</v>
      </c>
      <c r="G13" s="36">
        <v>329</v>
      </c>
      <c r="H13" s="36">
        <v>129</v>
      </c>
      <c r="I13" s="36" t="s">
        <v>678</v>
      </c>
    </row>
    <row r="14" spans="1:9" x14ac:dyDescent="0.25">
      <c r="A14" s="36" t="s">
        <v>675</v>
      </c>
      <c r="B14" s="36">
        <v>13</v>
      </c>
      <c r="C14" s="36" t="s">
        <v>682</v>
      </c>
      <c r="D14" s="36" t="s">
        <v>677</v>
      </c>
      <c r="E14" s="36" t="str">
        <f t="shared" si="0"/>
        <v xml:space="preserve">The type or namespace name 'DLLServices' does not exist in the namespace 'WizardWrx.ApplicationHelpers2' </v>
      </c>
      <c r="F14" s="36" t="str">
        <f>[1]!GetFile(D14)</f>
        <v>Program.cs</v>
      </c>
      <c r="G14" s="36">
        <v>352</v>
      </c>
      <c r="H14" s="36">
        <v>55</v>
      </c>
      <c r="I14" s="36" t="s">
        <v>678</v>
      </c>
    </row>
    <row r="15" spans="1:9" x14ac:dyDescent="0.25">
      <c r="A15" s="36" t="s">
        <v>675</v>
      </c>
      <c r="B15" s="36">
        <v>14</v>
      </c>
      <c r="C15" s="36" t="s">
        <v>682</v>
      </c>
      <c r="D15" s="36" t="s">
        <v>677</v>
      </c>
      <c r="E15" s="36" t="str">
        <f t="shared" si="0"/>
        <v xml:space="preserve">The type or namespace name 'DLLServices' does not exist in the namespace 'WizardWrx.ApplicationHelpers2' </v>
      </c>
      <c r="F15" s="36" t="str">
        <f>[1]!GetFile(D15)</f>
        <v>Program.cs</v>
      </c>
      <c r="G15" s="36">
        <v>352</v>
      </c>
      <c r="H15" s="36">
        <v>129</v>
      </c>
      <c r="I15" s="36" t="s">
        <v>678</v>
      </c>
    </row>
    <row r="16" spans="1:9" x14ac:dyDescent="0.25">
      <c r="A16" s="36" t="s">
        <v>675</v>
      </c>
      <c r="B16" s="36">
        <v>15</v>
      </c>
      <c r="C16" s="36" t="s">
        <v>682</v>
      </c>
      <c r="D16" s="36" t="s">
        <v>677</v>
      </c>
      <c r="E16" s="36" t="str">
        <f t="shared" si="0"/>
        <v xml:space="preserve">The type or namespace name 'DLLServices' does not exist in the namespace 'WizardWrx.ApplicationHelpers2' </v>
      </c>
      <c r="F16" s="36" t="str">
        <f>[1]!GetFile(D16)</f>
        <v>Program.cs</v>
      </c>
      <c r="G16" s="36">
        <v>461</v>
      </c>
      <c r="H16" s="36">
        <v>57</v>
      </c>
      <c r="I16" s="36" t="s">
        <v>678</v>
      </c>
    </row>
    <row r="17" spans="1:9" x14ac:dyDescent="0.25">
      <c r="A17" s="36" t="s">
        <v>675</v>
      </c>
      <c r="B17" s="36">
        <v>16</v>
      </c>
      <c r="C17" s="36" t="s">
        <v>682</v>
      </c>
      <c r="D17" s="36" t="s">
        <v>677</v>
      </c>
      <c r="E17" s="36" t="str">
        <f t="shared" si="0"/>
        <v xml:space="preserve">The type or namespace name 'DLLServices' does not exist in the namespace 'WizardWrx.ApplicationHelpers2' </v>
      </c>
      <c r="F17" s="36" t="str">
        <f>[1]!GetFile(D17)</f>
        <v>Program.cs</v>
      </c>
      <c r="G17" s="36">
        <v>476</v>
      </c>
      <c r="H17" s="36">
        <v>125</v>
      </c>
      <c r="I17" s="36" t="s">
        <v>678</v>
      </c>
    </row>
    <row r="18" spans="1:9" x14ac:dyDescent="0.25">
      <c r="A18" s="36" t="s">
        <v>675</v>
      </c>
      <c r="B18" s="36">
        <v>17</v>
      </c>
      <c r="C18" s="36" t="s">
        <v>682</v>
      </c>
      <c r="D18" s="36" t="s">
        <v>677</v>
      </c>
      <c r="E18" s="36" t="str">
        <f t="shared" si="0"/>
        <v xml:space="preserve">The type or namespace name 'DLLServices' does not exist in the namespace 'WizardWrx.ApplicationHelpers2' </v>
      </c>
      <c r="F18" s="36" t="str">
        <f>[1]!GetFile(D18)</f>
        <v>Program.cs</v>
      </c>
      <c r="G18" s="36">
        <v>547</v>
      </c>
      <c r="H18" s="36">
        <v>43</v>
      </c>
      <c r="I18" s="36" t="s">
        <v>678</v>
      </c>
    </row>
    <row r="19" spans="1:9" x14ac:dyDescent="0.25">
      <c r="A19" s="36" t="s">
        <v>675</v>
      </c>
      <c r="B19" s="36">
        <v>18</v>
      </c>
      <c r="C19" s="36" t="s">
        <v>682</v>
      </c>
      <c r="D19" s="36" t="s">
        <v>677</v>
      </c>
      <c r="E19" s="36" t="str">
        <f t="shared" si="0"/>
        <v xml:space="preserve">The type or namespace name 'DLLServices' does not exist in the namespace 'WizardWrx.ApplicationHelpers2' </v>
      </c>
      <c r="F19" s="36" t="str">
        <f>[1]!GetFile(D19)</f>
        <v>Program.cs</v>
      </c>
      <c r="G19" s="36">
        <v>557</v>
      </c>
      <c r="H19" s="36">
        <v>43</v>
      </c>
      <c r="I19" s="36" t="s">
        <v>678</v>
      </c>
    </row>
    <row r="20" spans="1:9" x14ac:dyDescent="0.25">
      <c r="A20" s="36" t="s">
        <v>675</v>
      </c>
      <c r="B20" s="36">
        <v>19</v>
      </c>
      <c r="C20" s="36" t="s">
        <v>682</v>
      </c>
      <c r="D20" s="36" t="s">
        <v>677</v>
      </c>
      <c r="E20" s="36" t="str">
        <f t="shared" si="0"/>
        <v xml:space="preserve">The type or namespace name 'DLLServices' does not exist in the namespace 'WizardWrx.ApplicationHelpers2' </v>
      </c>
      <c r="F20" s="36" t="str">
        <f>[1]!GetFile(D20)</f>
        <v>Program.cs</v>
      </c>
      <c r="G20" s="36">
        <v>567</v>
      </c>
      <c r="H20" s="36">
        <v>43</v>
      </c>
      <c r="I20" s="36" t="s">
        <v>678</v>
      </c>
    </row>
    <row r="21" spans="1:9" x14ac:dyDescent="0.25">
      <c r="A21" s="36" t="s">
        <v>675</v>
      </c>
      <c r="B21" s="36">
        <v>20</v>
      </c>
      <c r="C21" s="36" t="s">
        <v>682</v>
      </c>
      <c r="D21" s="36" t="s">
        <v>677</v>
      </c>
      <c r="E21" s="36" t="str">
        <f t="shared" si="0"/>
        <v xml:space="preserve">The type or namespace name 'DLLServices' does not exist in the namespace 'WizardWrx.ApplicationHelpers2' </v>
      </c>
      <c r="F21" s="36" t="str">
        <f>[1]!GetFile(D21)</f>
        <v>Program.cs</v>
      </c>
      <c r="G21" s="36">
        <v>577</v>
      </c>
      <c r="H21" s="36">
        <v>43</v>
      </c>
      <c r="I21" s="36" t="s">
        <v>678</v>
      </c>
    </row>
    <row r="22" spans="1:9" x14ac:dyDescent="0.25">
      <c r="A22" s="36" t="s">
        <v>675</v>
      </c>
      <c r="B22" s="36">
        <v>21</v>
      </c>
      <c r="C22" s="36" t="s">
        <v>682</v>
      </c>
      <c r="D22" s="36" t="s">
        <v>677</v>
      </c>
      <c r="E22" s="36" t="str">
        <f t="shared" si="0"/>
        <v xml:space="preserve">The type or namespace name 'DLLServices' does not exist in the namespace 'WizardWrx.ApplicationHelpers2' </v>
      </c>
      <c r="F22" s="36" t="str">
        <f>[1]!GetFile(D22)</f>
        <v>Program.cs</v>
      </c>
      <c r="G22" s="36">
        <v>587</v>
      </c>
      <c r="H22" s="36">
        <v>43</v>
      </c>
      <c r="I22" s="36" t="s">
        <v>678</v>
      </c>
    </row>
    <row r="23" spans="1:9" x14ac:dyDescent="0.25">
      <c r="A23" s="36" t="s">
        <v>675</v>
      </c>
      <c r="B23" s="36">
        <v>22</v>
      </c>
      <c r="C23" s="36" t="s">
        <v>682</v>
      </c>
      <c r="D23" s="36" t="s">
        <v>677</v>
      </c>
      <c r="E23" s="36" t="str">
        <f t="shared" si="0"/>
        <v xml:space="preserve">The type or namespace name 'DLLServices' does not exist in the namespace 'WizardWrx.ApplicationHelpers2' </v>
      </c>
      <c r="F23" s="36" t="str">
        <f>[1]!GetFile(D23)</f>
        <v>Program.cs</v>
      </c>
      <c r="G23" s="36">
        <v>597</v>
      </c>
      <c r="H23" s="36">
        <v>43</v>
      </c>
      <c r="I23" s="36" t="s">
        <v>678</v>
      </c>
    </row>
    <row r="24" spans="1:9" x14ac:dyDescent="0.25">
      <c r="A24" s="36" t="s">
        <v>675</v>
      </c>
      <c r="B24" s="36">
        <v>23</v>
      </c>
      <c r="C24" s="36" t="s">
        <v>682</v>
      </c>
      <c r="D24" s="36" t="s">
        <v>677</v>
      </c>
      <c r="E24" s="36" t="str">
        <f t="shared" si="0"/>
        <v xml:space="preserve">The type or namespace name 'DLLServices' does not exist in the namespace 'WizardWrx.ApplicationHelpers2' </v>
      </c>
      <c r="F24" s="36" t="str">
        <f>[1]!GetFile(D24)</f>
        <v>Program.cs</v>
      </c>
      <c r="G24" s="36">
        <v>607</v>
      </c>
      <c r="H24" s="36">
        <v>43</v>
      </c>
      <c r="I24" s="36" t="s">
        <v>678</v>
      </c>
    </row>
    <row r="25" spans="1:9" x14ac:dyDescent="0.25">
      <c r="A25" s="36" t="s">
        <v>675</v>
      </c>
      <c r="B25" s="36">
        <v>24</v>
      </c>
      <c r="C25" s="36" t="s">
        <v>682</v>
      </c>
      <c r="D25" s="36" t="s">
        <v>677</v>
      </c>
      <c r="E25" s="36" t="str">
        <f t="shared" si="0"/>
        <v xml:space="preserve">The type or namespace name 'DLLServices' does not exist in the namespace 'WizardWrx.ApplicationHelpers2' </v>
      </c>
      <c r="F25" s="36" t="str">
        <f>[1]!GetFile(D25)</f>
        <v>Program.cs</v>
      </c>
      <c r="G25" s="36">
        <v>617</v>
      </c>
      <c r="H25" s="36">
        <v>43</v>
      </c>
      <c r="I25" s="36" t="s">
        <v>678</v>
      </c>
    </row>
    <row r="26" spans="1:9" x14ac:dyDescent="0.25">
      <c r="A26" s="36" t="s">
        <v>675</v>
      </c>
      <c r="B26" s="36">
        <v>25</v>
      </c>
      <c r="C26" s="36" t="s">
        <v>682</v>
      </c>
      <c r="D26" s="36" t="s">
        <v>677</v>
      </c>
      <c r="E26" s="36" t="str">
        <f t="shared" si="0"/>
        <v xml:space="preserve">The type or namespace name 'DLLServices' does not exist in the namespace 'WizardWrx.ApplicationHelpers2' </v>
      </c>
      <c r="F26" s="36" t="str">
        <f>[1]!GetFile(D26)</f>
        <v>Program.cs</v>
      </c>
      <c r="G26" s="36">
        <v>627</v>
      </c>
      <c r="H26" s="36">
        <v>43</v>
      </c>
      <c r="I26" s="36" t="s">
        <v>678</v>
      </c>
    </row>
    <row r="27" spans="1:9" x14ac:dyDescent="0.25">
      <c r="A27" s="36" t="s">
        <v>675</v>
      </c>
      <c r="B27" s="36">
        <v>26</v>
      </c>
      <c r="C27" s="36" t="s">
        <v>682</v>
      </c>
      <c r="D27" s="36" t="s">
        <v>677</v>
      </c>
      <c r="E27" s="36" t="str">
        <f t="shared" si="0"/>
        <v xml:space="preserve">The type or namespace name 'DLLServices' does not exist in the namespace 'WizardWrx.ApplicationHelpers2' </v>
      </c>
      <c r="F27" s="36" t="str">
        <f>[1]!GetFile(D27)</f>
        <v>Program.cs</v>
      </c>
      <c r="G27" s="36">
        <v>637</v>
      </c>
      <c r="H27" s="36">
        <v>43</v>
      </c>
      <c r="I27" s="36" t="s">
        <v>678</v>
      </c>
    </row>
    <row r="28" spans="1:9" x14ac:dyDescent="0.25">
      <c r="A28" s="36" t="s">
        <v>675</v>
      </c>
      <c r="B28" s="36">
        <v>27</v>
      </c>
      <c r="C28" s="36" t="s">
        <v>682</v>
      </c>
      <c r="D28" s="36" t="s">
        <v>677</v>
      </c>
      <c r="E28" s="36" t="str">
        <f t="shared" si="0"/>
        <v xml:space="preserve">The type or namespace name 'DLLServices' does not exist in the namespace 'WizardWrx.ApplicationHelpers2' </v>
      </c>
      <c r="F28" s="36" t="str">
        <f>[1]!GetFile(D28)</f>
        <v>Program.cs</v>
      </c>
      <c r="G28" s="36">
        <v>647</v>
      </c>
      <c r="H28" s="36">
        <v>43</v>
      </c>
      <c r="I28" s="36" t="s">
        <v>678</v>
      </c>
    </row>
    <row r="29" spans="1:9" x14ac:dyDescent="0.25">
      <c r="A29" s="36" t="s">
        <v>675</v>
      </c>
      <c r="B29" s="36">
        <v>28</v>
      </c>
      <c r="C29" s="36" t="s">
        <v>682</v>
      </c>
      <c r="D29" s="36" t="s">
        <v>677</v>
      </c>
      <c r="E29" s="36" t="str">
        <f t="shared" si="0"/>
        <v xml:space="preserve">The type or namespace name 'DLLServices' does not exist in the namespace 'WizardWrx.ApplicationHelpers2' </v>
      </c>
      <c r="F29" s="36" t="str">
        <f>[1]!GetFile(D29)</f>
        <v>Program.cs</v>
      </c>
      <c r="G29" s="36">
        <v>657</v>
      </c>
      <c r="H29" s="36">
        <v>43</v>
      </c>
      <c r="I29" s="36" t="s">
        <v>678</v>
      </c>
    </row>
    <row r="30" spans="1:9" x14ac:dyDescent="0.25">
      <c r="A30" s="36" t="s">
        <v>675</v>
      </c>
      <c r="B30" s="36">
        <v>29</v>
      </c>
      <c r="C30" s="36" t="s">
        <v>682</v>
      </c>
      <c r="D30" s="36" t="s">
        <v>677</v>
      </c>
      <c r="E30" s="36" t="str">
        <f t="shared" si="0"/>
        <v xml:space="preserve">The type or namespace name 'DLLServices' does not exist in the namespace 'WizardWrx.ApplicationHelpers2' </v>
      </c>
      <c r="F30" s="36" t="str">
        <f>[1]!GetFile(D30)</f>
        <v>Program.cs</v>
      </c>
      <c r="G30" s="36">
        <v>667</v>
      </c>
      <c r="H30" s="36">
        <v>43</v>
      </c>
      <c r="I30" s="36" t="s">
        <v>678</v>
      </c>
    </row>
    <row r="31" spans="1:9" x14ac:dyDescent="0.25">
      <c r="A31" s="36" t="s">
        <v>675</v>
      </c>
      <c r="B31" s="36">
        <v>30</v>
      </c>
      <c r="C31" s="36" t="s">
        <v>682</v>
      </c>
      <c r="D31" s="36" t="s">
        <v>677</v>
      </c>
      <c r="E31" s="36" t="str">
        <f t="shared" si="0"/>
        <v xml:space="preserve">The type or namespace name 'DLLServices' does not exist in the namespace 'WizardWrx.ApplicationHelpers2' </v>
      </c>
      <c r="F31" s="36" t="str">
        <f>[1]!GetFile(D31)</f>
        <v>Program.cs</v>
      </c>
      <c r="G31" s="36">
        <v>678</v>
      </c>
      <c r="H31" s="36">
        <v>43</v>
      </c>
      <c r="I31" s="36" t="s">
        <v>678</v>
      </c>
    </row>
    <row r="32" spans="1:9" x14ac:dyDescent="0.25">
      <c r="A32" s="36" t="s">
        <v>675</v>
      </c>
      <c r="B32" s="36">
        <v>31</v>
      </c>
      <c r="C32" s="36" t="s">
        <v>682</v>
      </c>
      <c r="D32" s="36" t="s">
        <v>677</v>
      </c>
      <c r="E32" s="36" t="str">
        <f t="shared" si="0"/>
        <v xml:space="preserve">The type or namespace name 'DLLServices' does not exist in the namespace 'WizardWrx.ApplicationHelpers2' </v>
      </c>
      <c r="F32" s="36" t="str">
        <f>[1]!GetFile(D32)</f>
        <v>Program.cs</v>
      </c>
      <c r="G32" s="36">
        <v>689</v>
      </c>
      <c r="H32" s="36">
        <v>43</v>
      </c>
      <c r="I32" s="36" t="s">
        <v>678</v>
      </c>
    </row>
    <row r="33" spans="1:9" x14ac:dyDescent="0.25">
      <c r="A33" s="36" t="s">
        <v>675</v>
      </c>
      <c r="B33" s="36">
        <v>32</v>
      </c>
      <c r="C33" s="36" t="s">
        <v>682</v>
      </c>
      <c r="D33" s="36" t="s">
        <v>677</v>
      </c>
      <c r="E33" s="36" t="str">
        <f t="shared" si="0"/>
        <v xml:space="preserve">The type or namespace name 'DLLServices' does not exist in the namespace 'WizardWrx.ApplicationHelpers2' </v>
      </c>
      <c r="F33" s="36" t="str">
        <f>[1]!GetFile(D33)</f>
        <v>Program.cs</v>
      </c>
      <c r="G33" s="36">
        <v>701</v>
      </c>
      <c r="H33" s="36">
        <v>43</v>
      </c>
      <c r="I33" s="36" t="s">
        <v>678</v>
      </c>
    </row>
    <row r="34" spans="1:9" x14ac:dyDescent="0.25">
      <c r="A34" s="36" t="s">
        <v>675</v>
      </c>
      <c r="B34" s="36">
        <v>33</v>
      </c>
      <c r="C34" s="36" t="s">
        <v>682</v>
      </c>
      <c r="D34" s="36" t="s">
        <v>677</v>
      </c>
      <c r="E34" s="36" t="str">
        <f t="shared" si="0"/>
        <v xml:space="preserve">The type or namespace name 'DLLServices' does not exist in the namespace 'WizardWrx.ApplicationHelpers2' </v>
      </c>
      <c r="F34" s="36" t="str">
        <f>[1]!GetFile(D34)</f>
        <v>Program.cs</v>
      </c>
      <c r="G34" s="36">
        <v>713</v>
      </c>
      <c r="H34" s="36">
        <v>43</v>
      </c>
      <c r="I34" s="36" t="s">
        <v>678</v>
      </c>
    </row>
    <row r="35" spans="1:9" x14ac:dyDescent="0.25">
      <c r="A35" s="36" t="s">
        <v>675</v>
      </c>
      <c r="B35" s="36">
        <v>34</v>
      </c>
      <c r="C35" s="36" t="s">
        <v>682</v>
      </c>
      <c r="D35" s="36" t="s">
        <v>677</v>
      </c>
      <c r="E35" s="36" t="str">
        <f t="shared" si="0"/>
        <v xml:space="preserve">The type or namespace name 'DLLServices' does not exist in the namespace 'WizardWrx.ApplicationHelpers2' </v>
      </c>
      <c r="F35" s="36" t="str">
        <f>[1]!GetFile(D35)</f>
        <v>Program.cs</v>
      </c>
      <c r="G35" s="36">
        <v>726</v>
      </c>
      <c r="H35" s="36">
        <v>43</v>
      </c>
      <c r="I35" s="36" t="s">
        <v>678</v>
      </c>
    </row>
    <row r="36" spans="1:9" x14ac:dyDescent="0.25">
      <c r="A36" s="36" t="s">
        <v>675</v>
      </c>
      <c r="B36" s="36">
        <v>35</v>
      </c>
      <c r="C36" s="36" t="s">
        <v>682</v>
      </c>
      <c r="D36" s="36" t="s">
        <v>677</v>
      </c>
      <c r="E36" s="36" t="str">
        <f t="shared" si="0"/>
        <v xml:space="preserve">The type or namespace name 'DLLServices' does not exist in the namespace 'WizardWrx.ApplicationHelpers2' </v>
      </c>
      <c r="F36" s="36" t="str">
        <f>[1]!GetFile(D36)</f>
        <v>Program.cs</v>
      </c>
      <c r="G36" s="36">
        <v>753</v>
      </c>
      <c r="H36" s="36">
        <v>43</v>
      </c>
      <c r="I36" s="36" t="s">
        <v>678</v>
      </c>
    </row>
    <row r="37" spans="1:9" x14ac:dyDescent="0.25">
      <c r="A37" s="36" t="s">
        <v>675</v>
      </c>
      <c r="B37" s="36">
        <v>36</v>
      </c>
      <c r="C37" s="36" t="s">
        <v>682</v>
      </c>
      <c r="D37" s="36" t="s">
        <v>677</v>
      </c>
      <c r="E37" s="36" t="str">
        <f t="shared" si="0"/>
        <v xml:space="preserve">The type or namespace name 'DLLServices' does not exist in the namespace 'WizardWrx.ApplicationHelpers2' </v>
      </c>
      <c r="F37" s="36" t="str">
        <f>[1]!GetFile(D37)</f>
        <v>Program.cs</v>
      </c>
      <c r="G37" s="36">
        <v>763</v>
      </c>
      <c r="H37" s="36">
        <v>43</v>
      </c>
      <c r="I37" s="36" t="s">
        <v>678</v>
      </c>
    </row>
    <row r="38" spans="1:9" x14ac:dyDescent="0.25">
      <c r="A38" s="36" t="s">
        <v>675</v>
      </c>
      <c r="B38" s="36">
        <v>37</v>
      </c>
      <c r="C38" s="36" t="s">
        <v>682</v>
      </c>
      <c r="D38" s="36" t="s">
        <v>677</v>
      </c>
      <c r="E38" s="36" t="str">
        <f t="shared" si="0"/>
        <v xml:space="preserve">The type or namespace name 'DLLServices' does not exist in the namespace 'WizardWrx.ApplicationHelpers2' </v>
      </c>
      <c r="F38" s="36" t="str">
        <f>[1]!GetFile(D38)</f>
        <v>Program.cs</v>
      </c>
      <c r="G38" s="36">
        <v>773</v>
      </c>
      <c r="H38" s="36">
        <v>43</v>
      </c>
      <c r="I38" s="36" t="s">
        <v>678</v>
      </c>
    </row>
    <row r="39" spans="1:9" x14ac:dyDescent="0.25">
      <c r="A39" s="36" t="s">
        <v>675</v>
      </c>
      <c r="B39" s="36">
        <v>38</v>
      </c>
      <c r="C39" s="36" t="s">
        <v>682</v>
      </c>
      <c r="D39" s="36" t="s">
        <v>677</v>
      </c>
      <c r="E39" s="36" t="str">
        <f t="shared" si="0"/>
        <v xml:space="preserve">The type or namespace name 'DLLServices' does not exist in the namespace 'WizardWrx.ApplicationHelpers2' </v>
      </c>
      <c r="F39" s="36" t="str">
        <f>[1]!GetFile(D39)</f>
        <v>Program.cs</v>
      </c>
      <c r="G39" s="36">
        <v>783</v>
      </c>
      <c r="H39" s="36">
        <v>43</v>
      </c>
      <c r="I39" s="36" t="s">
        <v>678</v>
      </c>
    </row>
    <row r="40" spans="1:9" x14ac:dyDescent="0.25">
      <c r="A40" s="36" t="s">
        <v>675</v>
      </c>
      <c r="B40" s="36">
        <v>39</v>
      </c>
      <c r="C40" s="36" t="s">
        <v>682</v>
      </c>
      <c r="D40" s="36" t="s">
        <v>677</v>
      </c>
      <c r="E40" s="36" t="str">
        <f t="shared" si="0"/>
        <v xml:space="preserve">The type or namespace name 'DLLServices' does not exist in the namespace 'WizardWrx.ApplicationHelpers2' </v>
      </c>
      <c r="F40" s="36" t="str">
        <f>[1]!GetFile(D40)</f>
        <v>Program.cs</v>
      </c>
      <c r="G40" s="36">
        <v>793</v>
      </c>
      <c r="H40" s="36">
        <v>43</v>
      </c>
      <c r="I40" s="36" t="s">
        <v>678</v>
      </c>
    </row>
    <row r="41" spans="1:9" x14ac:dyDescent="0.25">
      <c r="A41" s="36" t="s">
        <v>675</v>
      </c>
      <c r="B41" s="36">
        <v>40</v>
      </c>
      <c r="C41" s="36" t="s">
        <v>682</v>
      </c>
      <c r="D41" s="36" t="s">
        <v>677</v>
      </c>
      <c r="E41" s="36" t="str">
        <f t="shared" si="0"/>
        <v xml:space="preserve">The type or namespace name 'DLLServices' does not exist in the namespace 'WizardWrx.ApplicationHelpers2' </v>
      </c>
      <c r="F41" s="36" t="str">
        <f>[1]!GetFile(D41)</f>
        <v>Program.cs</v>
      </c>
      <c r="G41" s="36">
        <v>803</v>
      </c>
      <c r="H41" s="36">
        <v>43</v>
      </c>
      <c r="I41" s="36" t="s">
        <v>678</v>
      </c>
    </row>
    <row r="42" spans="1:9" x14ac:dyDescent="0.25">
      <c r="A42" s="36" t="s">
        <v>675</v>
      </c>
      <c r="B42" s="36">
        <v>41</v>
      </c>
      <c r="C42" s="36" t="s">
        <v>682</v>
      </c>
      <c r="D42" s="36" t="s">
        <v>677</v>
      </c>
      <c r="E42" s="36" t="str">
        <f t="shared" si="0"/>
        <v xml:space="preserve">The type or namespace name 'DLLServices' does not exist in the namespace 'WizardWrx.ApplicationHelpers2' </v>
      </c>
      <c r="F42" s="36" t="str">
        <f>[1]!GetFile(D42)</f>
        <v>Program.cs</v>
      </c>
      <c r="G42" s="36">
        <v>813</v>
      </c>
      <c r="H42" s="36">
        <v>43</v>
      </c>
      <c r="I42" s="36" t="s">
        <v>678</v>
      </c>
    </row>
    <row r="43" spans="1:9" x14ac:dyDescent="0.25">
      <c r="A43" s="36" t="s">
        <v>675</v>
      </c>
      <c r="B43" s="36">
        <v>42</v>
      </c>
      <c r="C43" s="36" t="s">
        <v>682</v>
      </c>
      <c r="D43" s="36" t="s">
        <v>677</v>
      </c>
      <c r="E43" s="36" t="str">
        <f t="shared" si="0"/>
        <v xml:space="preserve">The type or namespace name 'DLLServices' does not exist in the namespace 'WizardWrx.ApplicationHelpers2' </v>
      </c>
      <c r="F43" s="36" t="str">
        <f>[1]!GetFile(D43)</f>
        <v>Program.cs</v>
      </c>
      <c r="G43" s="36">
        <v>823</v>
      </c>
      <c r="H43" s="36">
        <v>43</v>
      </c>
      <c r="I43" s="36" t="s">
        <v>678</v>
      </c>
    </row>
    <row r="44" spans="1:9" x14ac:dyDescent="0.25">
      <c r="A44" s="36" t="s">
        <v>675</v>
      </c>
      <c r="B44" s="36">
        <v>43</v>
      </c>
      <c r="C44" s="36" t="s">
        <v>682</v>
      </c>
      <c r="D44" s="36" t="s">
        <v>677</v>
      </c>
      <c r="E44" s="36" t="str">
        <f t="shared" si="0"/>
        <v xml:space="preserve">The type or namespace name 'DLLServices' does not exist in the namespace 'WizardWrx.ApplicationHelpers2' </v>
      </c>
      <c r="F44" s="36" t="str">
        <f>[1]!GetFile(D44)</f>
        <v>Program.cs</v>
      </c>
      <c r="G44" s="36">
        <v>833</v>
      </c>
      <c r="H44" s="36">
        <v>43</v>
      </c>
      <c r="I44" s="36" t="s">
        <v>678</v>
      </c>
    </row>
    <row r="45" spans="1:9" x14ac:dyDescent="0.25">
      <c r="A45" s="36" t="s">
        <v>675</v>
      </c>
      <c r="B45" s="36">
        <v>44</v>
      </c>
      <c r="C45" s="36" t="s">
        <v>682</v>
      </c>
      <c r="D45" s="36" t="s">
        <v>677</v>
      </c>
      <c r="E45" s="36" t="str">
        <f t="shared" si="0"/>
        <v xml:space="preserve">The type or namespace name 'DLLServices' does not exist in the namespace 'WizardWrx.ApplicationHelpers2' </v>
      </c>
      <c r="F45" s="36" t="str">
        <f>[1]!GetFile(D45)</f>
        <v>Program.cs</v>
      </c>
      <c r="G45" s="36">
        <v>843</v>
      </c>
      <c r="H45" s="36">
        <v>43</v>
      </c>
      <c r="I45" s="36" t="s">
        <v>678</v>
      </c>
    </row>
    <row r="46" spans="1:9" x14ac:dyDescent="0.25">
      <c r="A46" s="36" t="s">
        <v>675</v>
      </c>
      <c r="B46" s="36">
        <v>45</v>
      </c>
      <c r="C46" s="36" t="s">
        <v>682</v>
      </c>
      <c r="D46" s="36" t="s">
        <v>677</v>
      </c>
      <c r="E46" s="36" t="str">
        <f t="shared" si="0"/>
        <v xml:space="preserve">The type or namespace name 'DLLServices' does not exist in the namespace 'WizardWrx.ApplicationHelpers2' </v>
      </c>
      <c r="F46" s="36" t="str">
        <f>[1]!GetFile(D46)</f>
        <v>Program.cs</v>
      </c>
      <c r="G46" s="36">
        <v>853</v>
      </c>
      <c r="H46" s="36">
        <v>43</v>
      </c>
      <c r="I46" s="36" t="s">
        <v>678</v>
      </c>
    </row>
    <row r="47" spans="1:9" x14ac:dyDescent="0.25">
      <c r="A47" s="36" t="s">
        <v>675</v>
      </c>
      <c r="B47" s="36">
        <v>46</v>
      </c>
      <c r="C47" s="36" t="s">
        <v>682</v>
      </c>
      <c r="D47" s="36" t="s">
        <v>677</v>
      </c>
      <c r="E47" s="36" t="str">
        <f t="shared" si="0"/>
        <v xml:space="preserve">The type or namespace name 'DLLServices' does not exist in the namespace 'WizardWrx.ApplicationHelpers2' </v>
      </c>
      <c r="F47" s="36" t="str">
        <f>[1]!GetFile(D47)</f>
        <v>Program.cs</v>
      </c>
      <c r="G47" s="36">
        <v>863</v>
      </c>
      <c r="H47" s="36">
        <v>43</v>
      </c>
      <c r="I47" s="36" t="s">
        <v>678</v>
      </c>
    </row>
    <row r="48" spans="1:9" x14ac:dyDescent="0.25">
      <c r="A48" s="36" t="s">
        <v>675</v>
      </c>
      <c r="B48" s="36">
        <v>47</v>
      </c>
      <c r="C48" s="36" t="s">
        <v>682</v>
      </c>
      <c r="D48" s="36" t="s">
        <v>677</v>
      </c>
      <c r="E48" s="36" t="str">
        <f t="shared" si="0"/>
        <v xml:space="preserve">The type or namespace name 'DLLServices' does not exist in the namespace 'WizardWrx.ApplicationHelpers2' </v>
      </c>
      <c r="F48" s="36" t="str">
        <f>[1]!GetFile(D48)</f>
        <v>Program.cs</v>
      </c>
      <c r="G48" s="36">
        <v>873</v>
      </c>
      <c r="H48" s="36">
        <v>43</v>
      </c>
      <c r="I48" s="36" t="s">
        <v>678</v>
      </c>
    </row>
    <row r="49" spans="1:9" x14ac:dyDescent="0.25">
      <c r="A49" s="36" t="s">
        <v>675</v>
      </c>
      <c r="B49" s="36">
        <v>48</v>
      </c>
      <c r="C49" s="36" t="s">
        <v>682</v>
      </c>
      <c r="D49" s="36" t="s">
        <v>677</v>
      </c>
      <c r="E49" s="36" t="str">
        <f t="shared" si="0"/>
        <v xml:space="preserve">The type or namespace name 'DLLServices' does not exist in the namespace 'WizardWrx.ApplicationHelpers2' </v>
      </c>
      <c r="F49" s="36" t="str">
        <f>[1]!GetFile(D49)</f>
        <v>Program.cs</v>
      </c>
      <c r="G49" s="36">
        <v>884</v>
      </c>
      <c r="H49" s="36">
        <v>43</v>
      </c>
      <c r="I49" s="36" t="s">
        <v>678</v>
      </c>
    </row>
    <row r="50" spans="1:9" x14ac:dyDescent="0.25">
      <c r="A50" s="36" t="s">
        <v>675</v>
      </c>
      <c r="B50" s="36">
        <v>49</v>
      </c>
      <c r="C50" s="36" t="s">
        <v>682</v>
      </c>
      <c r="D50" s="36" t="s">
        <v>677</v>
      </c>
      <c r="E50" s="36" t="str">
        <f t="shared" si="0"/>
        <v xml:space="preserve">The type or namespace name 'DLLServices' does not exist in the namespace 'WizardWrx.ApplicationHelpers2' </v>
      </c>
      <c r="F50" s="36" t="str">
        <f>[1]!GetFile(D50)</f>
        <v>Program.cs</v>
      </c>
      <c r="G50" s="36">
        <v>895</v>
      </c>
      <c r="H50" s="36">
        <v>43</v>
      </c>
      <c r="I50" s="36" t="s">
        <v>678</v>
      </c>
    </row>
    <row r="51" spans="1:9" x14ac:dyDescent="0.25">
      <c r="A51" s="36" t="s">
        <v>675</v>
      </c>
      <c r="B51" s="36">
        <v>50</v>
      </c>
      <c r="C51" s="36" t="s">
        <v>682</v>
      </c>
      <c r="D51" s="36" t="s">
        <v>677</v>
      </c>
      <c r="E51" s="36" t="str">
        <f t="shared" si="0"/>
        <v xml:space="preserve">The type or namespace name 'DLLServices' does not exist in the namespace 'WizardWrx.ApplicationHelpers2' </v>
      </c>
      <c r="F51" s="36" t="str">
        <f>[1]!GetFile(D51)</f>
        <v>Program.cs</v>
      </c>
      <c r="G51" s="36">
        <v>907</v>
      </c>
      <c r="H51" s="36">
        <v>43</v>
      </c>
      <c r="I51" s="36" t="s">
        <v>678</v>
      </c>
    </row>
    <row r="52" spans="1:9" x14ac:dyDescent="0.25">
      <c r="A52" s="36" t="s">
        <v>675</v>
      </c>
      <c r="B52" s="36">
        <v>51</v>
      </c>
      <c r="C52" s="36" t="s">
        <v>682</v>
      </c>
      <c r="D52" s="36" t="s">
        <v>677</v>
      </c>
      <c r="E52" s="36" t="str">
        <f t="shared" si="0"/>
        <v xml:space="preserve">The type or namespace name 'DLLServices' does not exist in the namespace 'WizardWrx.ApplicationHelpers2' </v>
      </c>
      <c r="F52" s="36" t="str">
        <f>[1]!GetFile(D52)</f>
        <v>Program.cs</v>
      </c>
      <c r="G52" s="36">
        <v>919</v>
      </c>
      <c r="H52" s="36">
        <v>43</v>
      </c>
      <c r="I52" s="36" t="s">
        <v>678</v>
      </c>
    </row>
    <row r="53" spans="1:9" x14ac:dyDescent="0.25">
      <c r="A53" s="36" t="s">
        <v>675</v>
      </c>
      <c r="B53" s="36">
        <v>52</v>
      </c>
      <c r="C53" s="36" t="s">
        <v>682</v>
      </c>
      <c r="D53" s="36" t="s">
        <v>677</v>
      </c>
      <c r="E53" s="36" t="str">
        <f t="shared" si="0"/>
        <v xml:space="preserve">The type or namespace name 'DLLServices' does not exist in the namespace 'WizardWrx.ApplicationHelpers2' </v>
      </c>
      <c r="F53" s="36" t="str">
        <f>[1]!GetFile(D53)</f>
        <v>Program.cs</v>
      </c>
      <c r="G53" s="36">
        <v>932</v>
      </c>
      <c r="H53" s="36">
        <v>43</v>
      </c>
      <c r="I53" s="36" t="s">
        <v>678</v>
      </c>
    </row>
    <row r="54" spans="1:9" x14ac:dyDescent="0.25">
      <c r="A54" s="36" t="s">
        <v>675</v>
      </c>
      <c r="B54" s="36">
        <v>53</v>
      </c>
      <c r="C54" s="36" t="s">
        <v>682</v>
      </c>
      <c r="D54" s="36" t="s">
        <v>677</v>
      </c>
      <c r="E54" s="36" t="str">
        <f t="shared" si="0"/>
        <v xml:space="preserve">The type or namespace name 'DLLServices' does not exist in the namespace 'WizardWrx.ApplicationHelpers2' </v>
      </c>
      <c r="F54" s="36" t="str">
        <f>[1]!GetFile(D54)</f>
        <v>Program.cs</v>
      </c>
      <c r="G54" s="36">
        <v>943</v>
      </c>
      <c r="H54" s="36">
        <v>88</v>
      </c>
      <c r="I54" s="36" t="s">
        <v>678</v>
      </c>
    </row>
    <row r="55" spans="1:9" x14ac:dyDescent="0.25">
      <c r="A55" s="36" t="s">
        <v>675</v>
      </c>
      <c r="B55" s="36">
        <v>54</v>
      </c>
      <c r="C55" s="36" t="s">
        <v>682</v>
      </c>
      <c r="D55" s="36" t="s">
        <v>677</v>
      </c>
      <c r="E55" s="36" t="str">
        <f t="shared" si="0"/>
        <v xml:space="preserve">The type or namespace name 'DLLServices' does not exist in the namespace 'WizardWrx.ApplicationHelpers2' </v>
      </c>
      <c r="F55" s="36" t="str">
        <f>[1]!GetFile(D55)</f>
        <v>Program.cs</v>
      </c>
      <c r="G55" s="36">
        <v>1110</v>
      </c>
      <c r="H55" s="36">
        <v>92</v>
      </c>
      <c r="I55" s="36" t="s">
        <v>678</v>
      </c>
    </row>
    <row r="56" spans="1:9" x14ac:dyDescent="0.25">
      <c r="A56" s="36" t="s">
        <v>675</v>
      </c>
      <c r="B56" s="36">
        <v>55</v>
      </c>
      <c r="C56" s="36" t="s">
        <v>682</v>
      </c>
      <c r="D56" s="36" t="s">
        <v>677</v>
      </c>
      <c r="E56" s="36" t="str">
        <f t="shared" si="0"/>
        <v xml:space="preserve">The type or namespace name 'DLLServices' does not exist in the namespace 'WizardWrx.ApplicationHelpers2' </v>
      </c>
      <c r="F56" s="36" t="str">
        <f>[1]!GetFile(D56)</f>
        <v>Program.cs</v>
      </c>
      <c r="G56" s="36">
        <v>1458</v>
      </c>
      <c r="H56" s="36">
        <v>47</v>
      </c>
      <c r="I56" s="36" t="s">
        <v>678</v>
      </c>
    </row>
    <row r="57" spans="1:9" x14ac:dyDescent="0.25">
      <c r="A57" s="36" t="s">
        <v>675</v>
      </c>
      <c r="B57" s="36">
        <v>56</v>
      </c>
      <c r="C57" s="36" t="s">
        <v>682</v>
      </c>
      <c r="D57" s="36" t="s">
        <v>677</v>
      </c>
      <c r="E57" s="36" t="str">
        <f t="shared" si="0"/>
        <v xml:space="preserve">The type or namespace name 'DLLServices' does not exist in the namespace 'WizardWrx.ApplicationHelpers2' </v>
      </c>
      <c r="F57" s="36" t="str">
        <f>[1]!GetFile(D57)</f>
        <v>Program.cs</v>
      </c>
      <c r="G57" s="36">
        <v>1458</v>
      </c>
      <c r="H57" s="36">
        <v>120</v>
      </c>
      <c r="I57" s="36" t="s">
        <v>678</v>
      </c>
    </row>
    <row r="58" spans="1:9" x14ac:dyDescent="0.25">
      <c r="A58" s="36" t="s">
        <v>675</v>
      </c>
      <c r="B58" s="36">
        <v>58</v>
      </c>
      <c r="C58" s="36" t="s">
        <v>682</v>
      </c>
      <c r="D58" s="36" t="s">
        <v>677</v>
      </c>
      <c r="E58" s="36" t="str">
        <f t="shared" si="0"/>
        <v xml:space="preserve">The type or namespace name 'DLLServices' does not exist in the namespace 'WizardWrx.ApplicationHelpers2' </v>
      </c>
      <c r="F58" s="36" t="str">
        <f>[1]!GetFile(D58)</f>
        <v>Program.cs</v>
      </c>
      <c r="G58" s="36">
        <v>1524</v>
      </c>
      <c r="H58" s="36">
        <v>43</v>
      </c>
      <c r="I58" s="36" t="s">
        <v>678</v>
      </c>
    </row>
    <row r="59" spans="1:9" x14ac:dyDescent="0.25">
      <c r="A59" s="36" t="s">
        <v>675</v>
      </c>
      <c r="B59" s="36">
        <v>59</v>
      </c>
      <c r="C59" s="36" t="s">
        <v>682</v>
      </c>
      <c r="D59" s="36" t="s">
        <v>677</v>
      </c>
      <c r="E59" s="36" t="str">
        <f t="shared" si="0"/>
        <v xml:space="preserve">The type or namespace name 'DLLServices' does not exist in the namespace 'WizardWrx.ApplicationHelpers2' </v>
      </c>
      <c r="F59" s="36" t="str">
        <f>[1]!GetFile(D59)</f>
        <v>Program.cs</v>
      </c>
      <c r="G59" s="36">
        <v>1525</v>
      </c>
      <c r="H59" s="36">
        <v>113</v>
      </c>
      <c r="I59" s="36" t="s">
        <v>678</v>
      </c>
    </row>
    <row r="60" spans="1:9" x14ac:dyDescent="0.25">
      <c r="A60" s="36" t="s">
        <v>675</v>
      </c>
      <c r="B60" s="36">
        <v>60</v>
      </c>
      <c r="C60" s="36" t="s">
        <v>682</v>
      </c>
      <c r="D60" s="36" t="s">
        <v>677</v>
      </c>
      <c r="E60" s="36" t="str">
        <f t="shared" si="0"/>
        <v xml:space="preserve">The type or namespace name 'DLLServices' does not exist in the namespace 'WizardWrx.ApplicationHelpers2' </v>
      </c>
      <c r="F60" s="36" t="str">
        <f>[1]!GetFile(D60)</f>
        <v>Program.cs</v>
      </c>
      <c r="G60" s="36">
        <v>2050</v>
      </c>
      <c r="H60" s="36">
        <v>43</v>
      </c>
      <c r="I60" s="36" t="s">
        <v>678</v>
      </c>
    </row>
    <row r="61" spans="1:9" x14ac:dyDescent="0.25">
      <c r="A61" s="36" t="s">
        <v>675</v>
      </c>
      <c r="B61" s="36">
        <v>63</v>
      </c>
      <c r="C61" s="36" t="s">
        <v>682</v>
      </c>
      <c r="D61" s="36" t="s">
        <v>677</v>
      </c>
      <c r="E61" s="36" t="str">
        <f t="shared" si="0"/>
        <v xml:space="preserve">The type or namespace name 'DLLServices' does not exist in the namespace 'WizardWrx.ApplicationHelpers2' </v>
      </c>
      <c r="F61" s="36" t="str">
        <f>[1]!GetFile(D61)</f>
        <v>Program.cs</v>
      </c>
      <c r="G61" s="36">
        <v>2059</v>
      </c>
      <c r="H61" s="36">
        <v>74</v>
      </c>
      <c r="I61" s="36" t="s">
        <v>678</v>
      </c>
    </row>
    <row r="62" spans="1:9" x14ac:dyDescent="0.25">
      <c r="A62" s="36" t="s">
        <v>675</v>
      </c>
      <c r="B62" s="36">
        <v>1</v>
      </c>
      <c r="C62" s="36" t="s">
        <v>683</v>
      </c>
      <c r="D62" s="36" t="s">
        <v>680</v>
      </c>
      <c r="E62" s="36" t="str">
        <f t="shared" si="0"/>
        <v xml:space="preserve">The type or namespace name 'ApplicationHelpers2' does not exist in the namespace 'WizardWrx' </v>
      </c>
      <c r="F62" s="36" t="str">
        <f>[1]!GetFile(D62)</f>
        <v>FixedConsoleWriter.cs</v>
      </c>
      <c r="G62" s="36">
        <v>49</v>
      </c>
      <c r="H62" s="36">
        <v>17</v>
      </c>
      <c r="I62" s="36" t="s">
        <v>681</v>
      </c>
    </row>
    <row r="63" spans="1:9" x14ac:dyDescent="0.25">
      <c r="A63" s="36" t="s">
        <v>675</v>
      </c>
      <c r="B63" s="36">
        <v>61</v>
      </c>
      <c r="C63" s="36" t="s">
        <v>684</v>
      </c>
      <c r="D63" s="36" t="s">
        <v>677</v>
      </c>
      <c r="E63" s="36" t="str">
        <f t="shared" si="0"/>
        <v>The name 'StateManagerExceptionLogger' does not exist in the current context</v>
      </c>
      <c r="F63" s="36" t="str">
        <f>[1]!GetFile(D63)</f>
        <v>Program.cs</v>
      </c>
      <c r="G63" s="36">
        <v>2053</v>
      </c>
      <c r="H63" s="36">
        <v>46</v>
      </c>
      <c r="I63" s="36" t="s">
        <v>678</v>
      </c>
    </row>
    <row r="64" spans="1:9" x14ac:dyDescent="0.25">
      <c r="A64" s="36" t="s">
        <v>675</v>
      </c>
      <c r="B64" s="36">
        <v>62</v>
      </c>
      <c r="C64" s="36" t="s">
        <v>684</v>
      </c>
      <c r="D64" s="36" t="s">
        <v>677</v>
      </c>
      <c r="E64" s="36" t="str">
        <f t="shared" si="0"/>
        <v>The name 'StateManagerExceptionLogger' does not exist in the current context</v>
      </c>
      <c r="F64" s="36" t="str">
        <f>[1]!GetFile(D64)</f>
        <v>Program.cs</v>
      </c>
      <c r="G64" s="36">
        <v>2056</v>
      </c>
      <c r="H64" s="36">
        <v>39</v>
      </c>
      <c r="I64" s="36" t="s">
        <v>678</v>
      </c>
    </row>
    <row r="65" spans="1:9" x14ac:dyDescent="0.25">
      <c r="A65" s="36" t="s">
        <v>675</v>
      </c>
      <c r="B65" s="36">
        <v>64</v>
      </c>
      <c r="C65" s="36" t="s">
        <v>684</v>
      </c>
      <c r="D65" s="36" t="s">
        <v>677</v>
      </c>
      <c r="E65" s="36" t="str">
        <f t="shared" si="0"/>
        <v>The name 'StateManagerExceptionLogger' does not exist in the current context</v>
      </c>
      <c r="F65" s="36" t="str">
        <f>[1]!GetFile(D65)</f>
        <v>Program.cs</v>
      </c>
      <c r="G65" s="36">
        <v>2065</v>
      </c>
      <c r="H65" s="36">
        <v>38</v>
      </c>
      <c r="I65" s="36" t="s">
        <v>678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/>
  </sheetViews>
  <sheetFormatPr defaultRowHeight="11.25" x14ac:dyDescent="0.2"/>
  <cols>
    <col min="1" max="4" width="62.5" style="37" bestFit="1" customWidth="1"/>
    <col min="5" max="13" width="9" style="37"/>
    <col min="14" max="14" width="21.5" style="37" bestFit="1" customWidth="1"/>
    <col min="15" max="16384" width="9" style="37"/>
  </cols>
  <sheetData>
    <row r="1" spans="1:14" ht="18" x14ac:dyDescent="0.25">
      <c r="A1" s="38" t="str">
        <f>CONCATENATE("Screen ",COLUMN(A1)," of 4")</f>
        <v>Screen 1 of 4</v>
      </c>
      <c r="B1" s="38" t="str">
        <f>CONCATENATE("Screen ",COLUMN(B1)," of 4")</f>
        <v>Screen 2 of 4</v>
      </c>
      <c r="C1" s="38" t="str">
        <f>CONCATENATE("Screen ",COLUMN(C1)," of 4")</f>
        <v>Screen 3 of 4</v>
      </c>
      <c r="D1" s="38" t="str">
        <f>CONCATENATE("Screen ",COLUMN(D1)," of 4")</f>
        <v>Screen 4 of 4</v>
      </c>
    </row>
    <row r="2" spans="1:14" x14ac:dyDescent="0.2">
      <c r="A2" s="37" t="s">
        <v>694</v>
      </c>
      <c r="B2" s="37" t="s">
        <v>694</v>
      </c>
      <c r="C2" s="37" t="s">
        <v>694</v>
      </c>
      <c r="D2" s="37" t="s">
        <v>694</v>
      </c>
    </row>
    <row r="3" spans="1:14" x14ac:dyDescent="0.2">
      <c r="A3" s="37" t="s">
        <v>695</v>
      </c>
      <c r="B3" s="37" t="s">
        <v>720</v>
      </c>
      <c r="C3" s="37" t="s">
        <v>722</v>
      </c>
      <c r="D3" s="37" t="s">
        <v>724</v>
      </c>
      <c r="N3" s="37" t="s">
        <v>719</v>
      </c>
    </row>
    <row r="5" spans="1:14" x14ac:dyDescent="0.2">
      <c r="A5" s="37" t="s">
        <v>696</v>
      </c>
      <c r="C5" s="37" t="s">
        <v>696</v>
      </c>
      <c r="D5" s="37" t="s">
        <v>696</v>
      </c>
    </row>
    <row r="6" spans="1:14" x14ac:dyDescent="0.2">
      <c r="A6" s="37" t="s">
        <v>697</v>
      </c>
      <c r="B6" s="37" t="s">
        <v>696</v>
      </c>
      <c r="C6" s="37" t="s">
        <v>697</v>
      </c>
      <c r="D6" s="37" t="s">
        <v>697</v>
      </c>
    </row>
    <row r="7" spans="1:14" x14ac:dyDescent="0.2">
      <c r="A7" s="37" t="s">
        <v>698</v>
      </c>
      <c r="B7" s="37" t="s">
        <v>697</v>
      </c>
      <c r="C7" s="37" t="s">
        <v>698</v>
      </c>
      <c r="D7" s="37" t="s">
        <v>698</v>
      </c>
    </row>
    <row r="8" spans="1:14" x14ac:dyDescent="0.2">
      <c r="A8" s="37" t="s">
        <v>699</v>
      </c>
      <c r="B8" s="37" t="s">
        <v>698</v>
      </c>
      <c r="C8" s="37" t="s">
        <v>699</v>
      </c>
      <c r="D8" s="37" t="s">
        <v>699</v>
      </c>
    </row>
    <row r="9" spans="1:14" x14ac:dyDescent="0.2">
      <c r="A9" s="37" t="s">
        <v>700</v>
      </c>
      <c r="B9" s="37" t="s">
        <v>699</v>
      </c>
      <c r="C9" s="37" t="s">
        <v>700</v>
      </c>
      <c r="D9" s="37" t="s">
        <v>700</v>
      </c>
    </row>
    <row r="10" spans="1:14" x14ac:dyDescent="0.2">
      <c r="A10" s="37" t="s">
        <v>701</v>
      </c>
      <c r="B10" s="37" t="s">
        <v>700</v>
      </c>
      <c r="C10" s="37" t="s">
        <v>701</v>
      </c>
      <c r="D10" s="37" t="s">
        <v>701</v>
      </c>
    </row>
    <row r="11" spans="1:14" x14ac:dyDescent="0.2">
      <c r="A11" s="37" t="s">
        <v>702</v>
      </c>
      <c r="B11" s="37" t="s">
        <v>701</v>
      </c>
      <c r="C11" s="37" t="s">
        <v>702</v>
      </c>
      <c r="D11" s="37" t="s">
        <v>702</v>
      </c>
    </row>
    <row r="12" spans="1:14" x14ac:dyDescent="0.2">
      <c r="A12" s="37" t="s">
        <v>703</v>
      </c>
      <c r="B12" s="37" t="s">
        <v>702</v>
      </c>
      <c r="C12" s="37" t="s">
        <v>703</v>
      </c>
      <c r="D12" s="37" t="s">
        <v>703</v>
      </c>
    </row>
    <row r="13" spans="1:14" x14ac:dyDescent="0.2">
      <c r="A13" s="37" t="s">
        <v>704</v>
      </c>
      <c r="B13" s="37" t="s">
        <v>703</v>
      </c>
      <c r="C13" s="37" t="s">
        <v>704</v>
      </c>
      <c r="D13" s="37" t="s">
        <v>704</v>
      </c>
    </row>
    <row r="14" spans="1:14" x14ac:dyDescent="0.2">
      <c r="A14" s="37" t="s">
        <v>705</v>
      </c>
      <c r="B14" s="37" t="s">
        <v>704</v>
      </c>
      <c r="C14" s="37" t="s">
        <v>705</v>
      </c>
      <c r="D14" s="37" t="s">
        <v>705</v>
      </c>
    </row>
    <row r="15" spans="1:14" x14ac:dyDescent="0.2">
      <c r="A15" s="37" t="s">
        <v>706</v>
      </c>
      <c r="B15" s="37" t="s">
        <v>705</v>
      </c>
      <c r="C15" s="37" t="s">
        <v>706</v>
      </c>
      <c r="D15" s="37" t="s">
        <v>706</v>
      </c>
    </row>
    <row r="16" spans="1:14" x14ac:dyDescent="0.2">
      <c r="A16" s="37" t="s">
        <v>707</v>
      </c>
      <c r="B16" s="37" t="s">
        <v>706</v>
      </c>
      <c r="C16" s="37" t="s">
        <v>707</v>
      </c>
      <c r="D16" s="37" t="s">
        <v>707</v>
      </c>
    </row>
    <row r="17" spans="1:4" x14ac:dyDescent="0.2">
      <c r="A17" s="37" t="s">
        <v>708</v>
      </c>
      <c r="B17" s="37" t="s">
        <v>707</v>
      </c>
      <c r="C17" s="37" t="s">
        <v>708</v>
      </c>
      <c r="D17" s="37" t="s">
        <v>708</v>
      </c>
    </row>
    <row r="18" spans="1:4" x14ac:dyDescent="0.2">
      <c r="A18" s="37" t="s">
        <v>709</v>
      </c>
      <c r="B18" s="37" t="s">
        <v>708</v>
      </c>
      <c r="C18" s="37" t="s">
        <v>709</v>
      </c>
      <c r="D18" s="37" t="s">
        <v>709</v>
      </c>
    </row>
    <row r="19" spans="1:4" x14ac:dyDescent="0.2">
      <c r="A19" s="37" t="s">
        <v>710</v>
      </c>
      <c r="B19" s="37" t="s">
        <v>709</v>
      </c>
      <c r="C19" s="37" t="s">
        <v>710</v>
      </c>
      <c r="D19" s="37" t="s">
        <v>710</v>
      </c>
    </row>
    <row r="20" spans="1:4" x14ac:dyDescent="0.2">
      <c r="A20" s="37" t="s">
        <v>711</v>
      </c>
      <c r="B20" s="37" t="s">
        <v>710</v>
      </c>
      <c r="C20" s="37" t="s">
        <v>711</v>
      </c>
      <c r="D20" s="37" t="s">
        <v>711</v>
      </c>
    </row>
    <row r="21" spans="1:4" x14ac:dyDescent="0.2">
      <c r="A21" s="37" t="s">
        <v>712</v>
      </c>
      <c r="B21" s="37" t="s">
        <v>711</v>
      </c>
      <c r="C21" s="37" t="s">
        <v>712</v>
      </c>
      <c r="D21" s="37" t="s">
        <v>712</v>
      </c>
    </row>
    <row r="22" spans="1:4" x14ac:dyDescent="0.2">
      <c r="A22" s="37" t="s">
        <v>713</v>
      </c>
      <c r="B22" s="37" t="s">
        <v>712</v>
      </c>
      <c r="C22" s="37" t="s">
        <v>713</v>
      </c>
      <c r="D22" s="37" t="s">
        <v>713</v>
      </c>
    </row>
    <row r="23" spans="1:4" x14ac:dyDescent="0.2">
      <c r="A23" s="37" t="s">
        <v>714</v>
      </c>
      <c r="B23" s="37" t="s">
        <v>713</v>
      </c>
      <c r="C23" s="37" t="s">
        <v>714</v>
      </c>
      <c r="D23" s="37" t="s">
        <v>714</v>
      </c>
    </row>
    <row r="24" spans="1:4" x14ac:dyDescent="0.2">
      <c r="A24" s="37" t="s">
        <v>715</v>
      </c>
      <c r="B24" s="37" t="s">
        <v>714</v>
      </c>
      <c r="C24" s="37" t="s">
        <v>715</v>
      </c>
      <c r="D24" s="37" t="s">
        <v>715</v>
      </c>
    </row>
    <row r="25" spans="1:4" x14ac:dyDescent="0.2">
      <c r="A25" s="37" t="s">
        <v>716</v>
      </c>
      <c r="B25" s="37" t="s">
        <v>715</v>
      </c>
      <c r="C25" s="37" t="s">
        <v>716</v>
      </c>
      <c r="D25" s="37" t="s">
        <v>716</v>
      </c>
    </row>
    <row r="26" spans="1:4" x14ac:dyDescent="0.2">
      <c r="A26" s="37" t="s">
        <v>717</v>
      </c>
      <c r="B26" s="37" t="s">
        <v>716</v>
      </c>
      <c r="C26" s="37" t="s">
        <v>723</v>
      </c>
      <c r="D26" s="37" t="s">
        <v>725</v>
      </c>
    </row>
    <row r="27" spans="1:4" x14ac:dyDescent="0.2">
      <c r="A27" s="37" t="s">
        <v>718</v>
      </c>
      <c r="B27" s="37" t="s">
        <v>721</v>
      </c>
      <c r="C27" s="37" t="s">
        <v>718</v>
      </c>
      <c r="D27" s="37" t="s">
        <v>718</v>
      </c>
    </row>
    <row r="28" spans="1:4" x14ac:dyDescent="0.2">
      <c r="A28" s="37" t="s">
        <v>694</v>
      </c>
      <c r="B28" s="37" t="s">
        <v>718</v>
      </c>
      <c r="C28" s="37" t="s">
        <v>694</v>
      </c>
      <c r="D28" s="37" t="s">
        <v>694</v>
      </c>
    </row>
    <row r="29" spans="1:4" x14ac:dyDescent="0.2">
      <c r="B29" s="37" t="s">
        <v>694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tabSelected="1" workbookViewId="0">
      <pane xSplit="3" ySplit="1" topLeftCell="D61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cols>
    <col min="1" max="1" width="11.25" bestFit="1" customWidth="1"/>
    <col min="2" max="3" width="10.875" bestFit="1" customWidth="1"/>
    <col min="4" max="4" width="35.625" style="39" customWidth="1"/>
    <col min="5" max="5" width="24.25" bestFit="1" customWidth="1"/>
    <col min="6" max="6" width="25.625" customWidth="1"/>
  </cols>
  <sheetData>
    <row r="1" spans="1:6" ht="15.75" x14ac:dyDescent="0.25">
      <c r="A1" s="41" t="s">
        <v>752</v>
      </c>
      <c r="B1" s="41" t="s">
        <v>753</v>
      </c>
      <c r="C1" s="41" t="s">
        <v>751</v>
      </c>
      <c r="D1" s="42" t="s">
        <v>640</v>
      </c>
      <c r="E1" s="40" t="s">
        <v>750</v>
      </c>
      <c r="F1" s="45" t="s">
        <v>7</v>
      </c>
    </row>
    <row r="2" spans="1:6" ht="90" x14ac:dyDescent="0.25">
      <c r="A2" s="43"/>
      <c r="B2" s="43" t="s">
        <v>726</v>
      </c>
      <c r="C2" s="43"/>
      <c r="D2" s="44" t="s">
        <v>727</v>
      </c>
      <c r="E2" s="43" t="s">
        <v>728</v>
      </c>
      <c r="F2" s="46" t="s">
        <v>754</v>
      </c>
    </row>
    <row r="3" spans="1:6" x14ac:dyDescent="0.25">
      <c r="A3" s="43" t="s">
        <v>729</v>
      </c>
      <c r="B3" s="43"/>
      <c r="C3" s="43" t="s">
        <v>730</v>
      </c>
      <c r="D3" s="44" t="s">
        <v>731</v>
      </c>
      <c r="E3" s="43" t="s">
        <v>732</v>
      </c>
      <c r="F3" s="46"/>
    </row>
    <row r="4" spans="1:6" x14ac:dyDescent="0.25">
      <c r="A4" s="43"/>
      <c r="B4" s="43"/>
      <c r="C4" s="43" t="s">
        <v>733</v>
      </c>
      <c r="D4" s="44" t="s">
        <v>734</v>
      </c>
      <c r="E4" s="43" t="s">
        <v>735</v>
      </c>
      <c r="F4" s="46"/>
    </row>
    <row r="5" spans="1:6" x14ac:dyDescent="0.25">
      <c r="A5" s="43"/>
      <c r="B5" s="43"/>
      <c r="C5" s="43" t="s">
        <v>736</v>
      </c>
      <c r="D5" s="44" t="s">
        <v>737</v>
      </c>
      <c r="E5" s="43" t="s">
        <v>738</v>
      </c>
      <c r="F5" s="46"/>
    </row>
    <row r="6" spans="1:6" x14ac:dyDescent="0.25">
      <c r="A6" s="43"/>
      <c r="B6" s="43"/>
      <c r="C6" s="43" t="s">
        <v>739</v>
      </c>
      <c r="D6" s="44">
        <v>0</v>
      </c>
      <c r="E6" s="43" t="s">
        <v>740</v>
      </c>
      <c r="F6" s="46"/>
    </row>
    <row r="7" spans="1:6" x14ac:dyDescent="0.25">
      <c r="A7" s="43"/>
      <c r="B7" s="43"/>
      <c r="C7" s="43" t="s">
        <v>741</v>
      </c>
      <c r="D7" s="44" t="s">
        <v>734</v>
      </c>
      <c r="E7" s="43" t="s">
        <v>735</v>
      </c>
      <c r="F7" s="46"/>
    </row>
    <row r="8" spans="1:6" x14ac:dyDescent="0.25">
      <c r="A8" s="43"/>
      <c r="B8" s="43"/>
      <c r="C8" s="43" t="s">
        <v>742</v>
      </c>
      <c r="D8" s="44" t="s">
        <v>737</v>
      </c>
      <c r="E8" s="43" t="s">
        <v>738</v>
      </c>
      <c r="F8" s="46"/>
    </row>
    <row r="9" spans="1:6" x14ac:dyDescent="0.25">
      <c r="A9" s="43"/>
      <c r="B9" s="43"/>
      <c r="C9" s="43" t="s">
        <v>743</v>
      </c>
      <c r="D9" s="44">
        <v>0</v>
      </c>
      <c r="E9" s="43" t="s">
        <v>740</v>
      </c>
      <c r="F9" s="46"/>
    </row>
    <row r="10" spans="1:6" x14ac:dyDescent="0.25">
      <c r="A10" s="43"/>
      <c r="B10" s="43" t="s">
        <v>744</v>
      </c>
      <c r="C10" s="43"/>
      <c r="D10" s="44" t="b">
        <v>1</v>
      </c>
      <c r="E10" s="43" t="s">
        <v>745</v>
      </c>
      <c r="F10" s="46"/>
    </row>
    <row r="11" spans="1:6" x14ac:dyDescent="0.25">
      <c r="A11" s="43"/>
      <c r="B11" s="43"/>
      <c r="C11" s="43"/>
      <c r="D11" s="44"/>
      <c r="E11" s="43"/>
      <c r="F11" s="46"/>
    </row>
    <row r="12" spans="1:6" ht="90" x14ac:dyDescent="0.25">
      <c r="A12" s="43"/>
      <c r="B12" s="43" t="s">
        <v>726</v>
      </c>
      <c r="C12" s="43"/>
      <c r="D12" s="44" t="s">
        <v>727</v>
      </c>
      <c r="E12" s="43" t="s">
        <v>728</v>
      </c>
      <c r="F12" s="46" t="s">
        <v>754</v>
      </c>
    </row>
    <row r="13" spans="1:6" x14ac:dyDescent="0.25">
      <c r="A13" s="43" t="s">
        <v>729</v>
      </c>
      <c r="B13" s="43" t="s">
        <v>730</v>
      </c>
      <c r="C13" s="43"/>
      <c r="D13" s="44" t="s">
        <v>731</v>
      </c>
      <c r="E13" s="43" t="s">
        <v>732</v>
      </c>
      <c r="F13" s="46"/>
    </row>
    <row r="14" spans="1:6" x14ac:dyDescent="0.25">
      <c r="A14" s="43"/>
      <c r="B14" s="43"/>
      <c r="C14" s="43" t="s">
        <v>733</v>
      </c>
      <c r="D14" s="44" t="s">
        <v>746</v>
      </c>
      <c r="E14" s="43" t="s">
        <v>735</v>
      </c>
      <c r="F14" s="46"/>
    </row>
    <row r="15" spans="1:6" x14ac:dyDescent="0.25">
      <c r="A15" s="43"/>
      <c r="B15" s="43"/>
      <c r="C15" s="43" t="s">
        <v>736</v>
      </c>
      <c r="D15" s="44" t="s">
        <v>747</v>
      </c>
      <c r="E15" s="43" t="s">
        <v>738</v>
      </c>
      <c r="F15" s="46"/>
    </row>
    <row r="16" spans="1:6" x14ac:dyDescent="0.25">
      <c r="A16" s="43"/>
      <c r="B16" s="43"/>
      <c r="C16" s="43" t="s">
        <v>739</v>
      </c>
      <c r="D16" s="44">
        <v>0</v>
      </c>
      <c r="E16" s="43" t="s">
        <v>740</v>
      </c>
      <c r="F16" s="46"/>
    </row>
    <row r="17" spans="1:6" x14ac:dyDescent="0.25">
      <c r="A17" s="43"/>
      <c r="B17" s="43"/>
      <c r="C17" s="43" t="s">
        <v>741</v>
      </c>
      <c r="D17" s="44" t="s">
        <v>746</v>
      </c>
      <c r="E17" s="43" t="s">
        <v>735</v>
      </c>
      <c r="F17" s="46"/>
    </row>
    <row r="18" spans="1:6" x14ac:dyDescent="0.25">
      <c r="A18" s="43"/>
      <c r="B18" s="43"/>
      <c r="C18" s="43" t="s">
        <v>742</v>
      </c>
      <c r="D18" s="44" t="s">
        <v>747</v>
      </c>
      <c r="E18" s="43" t="s">
        <v>738</v>
      </c>
      <c r="F18" s="46"/>
    </row>
    <row r="19" spans="1:6" x14ac:dyDescent="0.25">
      <c r="A19" s="43"/>
      <c r="B19" s="43"/>
      <c r="C19" s="43" t="s">
        <v>743</v>
      </c>
      <c r="D19" s="44">
        <v>0</v>
      </c>
      <c r="E19" s="43" t="s">
        <v>740</v>
      </c>
      <c r="F19" s="46"/>
    </row>
    <row r="20" spans="1:6" x14ac:dyDescent="0.25">
      <c r="A20" s="43"/>
      <c r="B20" s="43" t="s">
        <v>744</v>
      </c>
      <c r="C20" s="43"/>
      <c r="D20" s="44" t="b">
        <v>1</v>
      </c>
      <c r="E20" s="43" t="s">
        <v>745</v>
      </c>
      <c r="F20" s="46"/>
    </row>
    <row r="21" spans="1:6" x14ac:dyDescent="0.25">
      <c r="A21" s="43"/>
      <c r="B21" s="43"/>
      <c r="C21" s="43"/>
      <c r="D21" s="44"/>
      <c r="E21" s="43"/>
      <c r="F21" s="46"/>
    </row>
    <row r="22" spans="1:6" ht="90" x14ac:dyDescent="0.25">
      <c r="A22" s="43"/>
      <c r="B22" s="43" t="s">
        <v>726</v>
      </c>
      <c r="C22" s="43"/>
      <c r="D22" s="44" t="s">
        <v>727</v>
      </c>
      <c r="E22" s="43" t="s">
        <v>728</v>
      </c>
      <c r="F22" s="46" t="s">
        <v>754</v>
      </c>
    </row>
    <row r="23" spans="1:6" x14ac:dyDescent="0.25">
      <c r="A23" s="43" t="s">
        <v>729</v>
      </c>
      <c r="B23" s="43" t="s">
        <v>730</v>
      </c>
      <c r="C23" s="43"/>
      <c r="D23" s="44" t="s">
        <v>731</v>
      </c>
      <c r="E23" s="43" t="s">
        <v>732</v>
      </c>
      <c r="F23" s="46"/>
    </row>
    <row r="24" spans="1:6" x14ac:dyDescent="0.25">
      <c r="A24" s="43"/>
      <c r="B24" s="43"/>
      <c r="C24" s="43" t="s">
        <v>733</v>
      </c>
      <c r="D24" s="44" t="s">
        <v>748</v>
      </c>
      <c r="E24" s="43" t="s">
        <v>735</v>
      </c>
      <c r="F24" s="46"/>
    </row>
    <row r="25" spans="1:6" x14ac:dyDescent="0.25">
      <c r="A25" s="43"/>
      <c r="B25" s="43"/>
      <c r="C25" s="43" t="s">
        <v>736</v>
      </c>
      <c r="D25" s="44" t="s">
        <v>749</v>
      </c>
      <c r="E25" s="43" t="s">
        <v>738</v>
      </c>
      <c r="F25" s="46"/>
    </row>
    <row r="26" spans="1:6" x14ac:dyDescent="0.25">
      <c r="A26" s="43"/>
      <c r="B26" s="43"/>
      <c r="C26" s="43" t="s">
        <v>739</v>
      </c>
      <c r="D26" s="44">
        <v>0</v>
      </c>
      <c r="E26" s="43" t="s">
        <v>740</v>
      </c>
      <c r="F26" s="46"/>
    </row>
    <row r="27" spans="1:6" x14ac:dyDescent="0.25">
      <c r="A27" s="43"/>
      <c r="B27" s="43"/>
      <c r="C27" s="43" t="s">
        <v>741</v>
      </c>
      <c r="D27" s="44" t="s">
        <v>748</v>
      </c>
      <c r="E27" s="43" t="s">
        <v>735</v>
      </c>
      <c r="F27" s="46"/>
    </row>
    <row r="28" spans="1:6" x14ac:dyDescent="0.25">
      <c r="A28" s="43"/>
      <c r="B28" s="43"/>
      <c r="C28" s="43" t="s">
        <v>742</v>
      </c>
      <c r="D28" s="44" t="s">
        <v>749</v>
      </c>
      <c r="E28" s="43" t="s">
        <v>738</v>
      </c>
      <c r="F28" s="46"/>
    </row>
    <row r="29" spans="1:6" x14ac:dyDescent="0.25">
      <c r="A29" s="43"/>
      <c r="B29" s="43"/>
      <c r="C29" s="43" t="s">
        <v>743</v>
      </c>
      <c r="D29" s="44">
        <v>0</v>
      </c>
      <c r="E29" s="43" t="s">
        <v>740</v>
      </c>
      <c r="F29" s="46"/>
    </row>
    <row r="30" spans="1:6" x14ac:dyDescent="0.25">
      <c r="A30" s="43"/>
      <c r="B30" s="43" t="s">
        <v>744</v>
      </c>
      <c r="C30" s="43"/>
      <c r="D30" s="44" t="b">
        <v>1</v>
      </c>
      <c r="E30" s="43" t="s">
        <v>745</v>
      </c>
      <c r="F30" s="46"/>
    </row>
    <row r="31" spans="1:6" x14ac:dyDescent="0.25">
      <c r="A31" s="43"/>
      <c r="B31" s="43"/>
      <c r="C31" s="43"/>
      <c r="D31" s="44"/>
      <c r="E31" s="43"/>
      <c r="F31" s="46"/>
    </row>
    <row r="32" spans="1:6" ht="90" x14ac:dyDescent="0.25">
      <c r="A32" s="43"/>
      <c r="B32" s="43" t="s">
        <v>726</v>
      </c>
      <c r="C32" s="43"/>
      <c r="D32" s="44" t="s">
        <v>727</v>
      </c>
      <c r="E32" s="43" t="s">
        <v>728</v>
      </c>
      <c r="F32" s="46" t="s">
        <v>754</v>
      </c>
    </row>
    <row r="33" spans="1:6" x14ac:dyDescent="0.25">
      <c r="A33" s="43" t="s">
        <v>729</v>
      </c>
      <c r="B33" s="43" t="s">
        <v>730</v>
      </c>
      <c r="C33" s="43"/>
      <c r="D33" s="44" t="s">
        <v>731</v>
      </c>
      <c r="E33" s="43" t="s">
        <v>732</v>
      </c>
      <c r="F33" s="46"/>
    </row>
    <row r="34" spans="1:6" x14ac:dyDescent="0.25">
      <c r="A34" s="43"/>
      <c r="B34" s="43"/>
      <c r="C34" s="43" t="s">
        <v>733</v>
      </c>
      <c r="D34" s="44" t="s">
        <v>755</v>
      </c>
      <c r="E34" s="43" t="s">
        <v>735</v>
      </c>
      <c r="F34" s="46"/>
    </row>
    <row r="35" spans="1:6" x14ac:dyDescent="0.25">
      <c r="A35" s="43"/>
      <c r="B35" s="43"/>
      <c r="C35" s="43" t="s">
        <v>736</v>
      </c>
      <c r="D35" s="44" t="s">
        <v>756</v>
      </c>
      <c r="E35" s="43" t="s">
        <v>738</v>
      </c>
      <c r="F35" s="46"/>
    </row>
    <row r="36" spans="1:6" x14ac:dyDescent="0.25">
      <c r="A36" s="43"/>
      <c r="B36" s="43"/>
      <c r="C36" s="43" t="s">
        <v>739</v>
      </c>
      <c r="D36" s="44">
        <v>0</v>
      </c>
      <c r="E36" s="43" t="s">
        <v>740</v>
      </c>
      <c r="F36" s="46"/>
    </row>
    <row r="37" spans="1:6" x14ac:dyDescent="0.25">
      <c r="A37" s="43"/>
      <c r="B37" s="43"/>
      <c r="C37" s="43" t="s">
        <v>741</v>
      </c>
      <c r="D37" s="44" t="s">
        <v>755</v>
      </c>
      <c r="E37" s="43" t="s">
        <v>735</v>
      </c>
      <c r="F37" s="46"/>
    </row>
    <row r="38" spans="1:6" x14ac:dyDescent="0.25">
      <c r="A38" s="43"/>
      <c r="B38" s="43"/>
      <c r="C38" s="43" t="s">
        <v>742</v>
      </c>
      <c r="D38" s="44" t="s">
        <v>756</v>
      </c>
      <c r="E38" s="43" t="s">
        <v>738</v>
      </c>
      <c r="F38" s="46"/>
    </row>
    <row r="39" spans="1:6" x14ac:dyDescent="0.25">
      <c r="A39" s="43"/>
      <c r="B39" s="43"/>
      <c r="C39" s="43" t="s">
        <v>743</v>
      </c>
      <c r="D39" s="44">
        <v>0</v>
      </c>
      <c r="E39" s="43" t="s">
        <v>740</v>
      </c>
      <c r="F39" s="46"/>
    </row>
    <row r="40" spans="1:6" x14ac:dyDescent="0.25">
      <c r="A40" s="43"/>
      <c r="B40" s="43" t="s">
        <v>744</v>
      </c>
      <c r="C40" s="43"/>
      <c r="D40" s="44" t="b">
        <v>1</v>
      </c>
      <c r="E40" s="43" t="s">
        <v>745</v>
      </c>
      <c r="F40" s="46"/>
    </row>
    <row r="41" spans="1:6" x14ac:dyDescent="0.25">
      <c r="A41" s="43"/>
      <c r="B41" s="43"/>
      <c r="C41" s="43"/>
      <c r="D41" s="44"/>
      <c r="E41" s="43"/>
      <c r="F41" s="46"/>
    </row>
    <row r="42" spans="1:6" ht="90" x14ac:dyDescent="0.25">
      <c r="A42" s="43"/>
      <c r="B42" s="43" t="s">
        <v>726</v>
      </c>
      <c r="C42" s="43"/>
      <c r="D42" s="44" t="s">
        <v>727</v>
      </c>
      <c r="E42" s="43" t="s">
        <v>728</v>
      </c>
      <c r="F42" s="46" t="s">
        <v>754</v>
      </c>
    </row>
    <row r="43" spans="1:6" x14ac:dyDescent="0.25">
      <c r="A43" s="43" t="s">
        <v>729</v>
      </c>
      <c r="B43" s="43" t="s">
        <v>730</v>
      </c>
      <c r="C43" s="43"/>
      <c r="D43" s="44" t="s">
        <v>731</v>
      </c>
      <c r="E43" s="43" t="s">
        <v>732</v>
      </c>
      <c r="F43" s="46"/>
    </row>
    <row r="44" spans="1:6" x14ac:dyDescent="0.25">
      <c r="A44" s="43"/>
      <c r="B44" s="43"/>
      <c r="C44" s="43" t="s">
        <v>733</v>
      </c>
      <c r="D44" s="44" t="s">
        <v>757</v>
      </c>
      <c r="E44" s="43" t="s">
        <v>735</v>
      </c>
      <c r="F44" s="46"/>
    </row>
    <row r="45" spans="1:6" x14ac:dyDescent="0.25">
      <c r="A45" s="43"/>
      <c r="B45" s="43"/>
      <c r="C45" s="43" t="s">
        <v>736</v>
      </c>
      <c r="D45" s="44" t="s">
        <v>758</v>
      </c>
      <c r="E45" s="43" t="s">
        <v>738</v>
      </c>
      <c r="F45" s="46"/>
    </row>
    <row r="46" spans="1:6" x14ac:dyDescent="0.25">
      <c r="A46" s="43"/>
      <c r="B46" s="43"/>
      <c r="C46" s="43" t="s">
        <v>739</v>
      </c>
      <c r="D46" s="44">
        <v>0</v>
      </c>
      <c r="E46" s="43" t="s">
        <v>740</v>
      </c>
      <c r="F46" s="46"/>
    </row>
    <row r="47" spans="1:6" x14ac:dyDescent="0.25">
      <c r="A47" s="43"/>
      <c r="B47" s="43"/>
      <c r="C47" s="43" t="s">
        <v>741</v>
      </c>
      <c r="D47" s="44" t="s">
        <v>757</v>
      </c>
      <c r="E47" s="43" t="s">
        <v>735</v>
      </c>
      <c r="F47" s="46"/>
    </row>
    <row r="48" spans="1:6" x14ac:dyDescent="0.25">
      <c r="A48" s="43"/>
      <c r="B48" s="43"/>
      <c r="C48" s="43" t="s">
        <v>742</v>
      </c>
      <c r="D48" s="44" t="s">
        <v>758</v>
      </c>
      <c r="E48" s="43" t="s">
        <v>738</v>
      </c>
      <c r="F48" s="46"/>
    </row>
    <row r="49" spans="1:6" x14ac:dyDescent="0.25">
      <c r="A49" s="43"/>
      <c r="B49" s="43"/>
      <c r="C49" s="43" t="s">
        <v>743</v>
      </c>
      <c r="D49" s="44">
        <v>0</v>
      </c>
      <c r="E49" s="43" t="s">
        <v>740</v>
      </c>
      <c r="F49" s="46"/>
    </row>
    <row r="50" spans="1:6" x14ac:dyDescent="0.25">
      <c r="A50" s="43"/>
      <c r="B50" s="43" t="s">
        <v>744</v>
      </c>
      <c r="C50" s="43"/>
      <c r="D50" s="44" t="b">
        <v>1</v>
      </c>
      <c r="E50" s="43" t="s">
        <v>745</v>
      </c>
      <c r="F50" s="46"/>
    </row>
    <row r="51" spans="1:6" x14ac:dyDescent="0.25">
      <c r="A51" s="43"/>
      <c r="B51" s="43"/>
      <c r="C51" s="43"/>
      <c r="D51" s="44"/>
      <c r="E51" s="43"/>
      <c r="F51" s="46"/>
    </row>
    <row r="52" spans="1:6" ht="90" x14ac:dyDescent="0.25">
      <c r="A52" s="43"/>
      <c r="B52" s="43" t="s">
        <v>726</v>
      </c>
      <c r="C52" s="43"/>
      <c r="D52" s="44" t="s">
        <v>727</v>
      </c>
      <c r="E52" s="43" t="s">
        <v>728</v>
      </c>
      <c r="F52" s="46" t="s">
        <v>754</v>
      </c>
    </row>
    <row r="53" spans="1:6" x14ac:dyDescent="0.25">
      <c r="A53" s="43" t="s">
        <v>729</v>
      </c>
      <c r="B53" s="43" t="s">
        <v>730</v>
      </c>
      <c r="C53" s="43"/>
      <c r="D53" s="44" t="s">
        <v>731</v>
      </c>
      <c r="E53" s="43" t="s">
        <v>732</v>
      </c>
      <c r="F53" s="46"/>
    </row>
    <row r="54" spans="1:6" x14ac:dyDescent="0.25">
      <c r="A54" s="43"/>
      <c r="B54" s="43"/>
      <c r="C54" s="43" t="s">
        <v>733</v>
      </c>
      <c r="D54" s="44" t="s">
        <v>759</v>
      </c>
      <c r="E54" s="43" t="s">
        <v>735</v>
      </c>
      <c r="F54" s="46"/>
    </row>
    <row r="55" spans="1:6" x14ac:dyDescent="0.25">
      <c r="A55" s="43"/>
      <c r="B55" s="43"/>
      <c r="C55" s="43" t="s">
        <v>736</v>
      </c>
      <c r="D55" s="44" t="s">
        <v>760</v>
      </c>
      <c r="E55" s="43" t="s">
        <v>738</v>
      </c>
      <c r="F55" s="46"/>
    </row>
    <row r="56" spans="1:6" x14ac:dyDescent="0.25">
      <c r="A56" s="43"/>
      <c r="B56" s="43"/>
      <c r="C56" s="43" t="s">
        <v>739</v>
      </c>
      <c r="D56" s="44">
        <v>0</v>
      </c>
      <c r="E56" s="43" t="s">
        <v>740</v>
      </c>
      <c r="F56" s="46"/>
    </row>
    <row r="57" spans="1:6" x14ac:dyDescent="0.25">
      <c r="A57" s="43"/>
      <c r="B57" s="43"/>
      <c r="C57" s="43" t="s">
        <v>741</v>
      </c>
      <c r="D57" s="44" t="s">
        <v>759</v>
      </c>
      <c r="E57" s="43" t="s">
        <v>735</v>
      </c>
      <c r="F57" s="46"/>
    </row>
    <row r="58" spans="1:6" x14ac:dyDescent="0.25">
      <c r="A58" s="43"/>
      <c r="B58" s="43"/>
      <c r="C58" s="43" t="s">
        <v>742</v>
      </c>
      <c r="D58" s="44" t="s">
        <v>760</v>
      </c>
      <c r="E58" s="43" t="s">
        <v>738</v>
      </c>
      <c r="F58" s="46"/>
    </row>
    <row r="59" spans="1:6" x14ac:dyDescent="0.25">
      <c r="A59" s="43"/>
      <c r="B59" s="43"/>
      <c r="C59" s="43" t="s">
        <v>743</v>
      </c>
      <c r="D59" s="44">
        <v>0</v>
      </c>
      <c r="E59" s="43" t="s">
        <v>740</v>
      </c>
      <c r="F59" s="46"/>
    </row>
    <row r="60" spans="1:6" x14ac:dyDescent="0.25">
      <c r="A60" s="43"/>
      <c r="B60" s="43" t="s">
        <v>744</v>
      </c>
      <c r="C60" s="43"/>
      <c r="D60" s="44" t="b">
        <v>1</v>
      </c>
      <c r="E60" s="43" t="s">
        <v>745</v>
      </c>
      <c r="F60" s="46"/>
    </row>
    <row r="61" spans="1:6" x14ac:dyDescent="0.25">
      <c r="A61" s="43"/>
      <c r="B61" s="43"/>
      <c r="C61" s="43"/>
      <c r="D61" s="44"/>
      <c r="E61" s="43"/>
      <c r="F61" s="46"/>
    </row>
    <row r="62" spans="1:6" ht="105" x14ac:dyDescent="0.25">
      <c r="A62" s="43"/>
      <c r="B62" s="43" t="s">
        <v>726</v>
      </c>
      <c r="C62" s="43"/>
      <c r="D62" s="44" t="s">
        <v>727</v>
      </c>
      <c r="E62" s="43" t="s">
        <v>728</v>
      </c>
      <c r="F62" s="46" t="s">
        <v>765</v>
      </c>
    </row>
    <row r="63" spans="1:6" x14ac:dyDescent="0.25">
      <c r="A63" s="43" t="s">
        <v>729</v>
      </c>
      <c r="B63" s="43" t="s">
        <v>730</v>
      </c>
      <c r="C63" s="43"/>
      <c r="D63" s="44" t="s">
        <v>731</v>
      </c>
      <c r="E63" s="43" t="s">
        <v>732</v>
      </c>
      <c r="F63" s="46"/>
    </row>
    <row r="64" spans="1:6" x14ac:dyDescent="0.25">
      <c r="A64" s="43"/>
      <c r="B64" s="43"/>
      <c r="C64" s="43" t="s">
        <v>733</v>
      </c>
      <c r="D64" s="44" t="s">
        <v>761</v>
      </c>
      <c r="E64" s="43" t="s">
        <v>735</v>
      </c>
      <c r="F64" s="46"/>
    </row>
    <row r="65" spans="1:6" x14ac:dyDescent="0.25">
      <c r="A65" s="43"/>
      <c r="B65" s="43"/>
      <c r="C65" s="43" t="s">
        <v>736</v>
      </c>
      <c r="D65" s="44" t="s">
        <v>762</v>
      </c>
      <c r="E65" s="43" t="s">
        <v>738</v>
      </c>
      <c r="F65" s="46"/>
    </row>
    <row r="66" spans="1:6" x14ac:dyDescent="0.25">
      <c r="A66" s="43"/>
      <c r="B66" s="43"/>
      <c r="C66" s="43" t="s">
        <v>739</v>
      </c>
      <c r="D66" s="44">
        <v>0</v>
      </c>
      <c r="E66" s="43" t="s">
        <v>740</v>
      </c>
      <c r="F66" s="46"/>
    </row>
    <row r="67" spans="1:6" x14ac:dyDescent="0.25">
      <c r="A67" s="43"/>
      <c r="B67" s="43"/>
      <c r="C67" s="43" t="s">
        <v>741</v>
      </c>
      <c r="D67" s="44" t="s">
        <v>761</v>
      </c>
      <c r="E67" s="43" t="s">
        <v>735</v>
      </c>
      <c r="F67" s="46"/>
    </row>
    <row r="68" spans="1:6" x14ac:dyDescent="0.25">
      <c r="A68" s="43"/>
      <c r="B68" s="43"/>
      <c r="C68" s="43" t="s">
        <v>742</v>
      </c>
      <c r="D68" s="44" t="s">
        <v>762</v>
      </c>
      <c r="E68" s="43" t="s">
        <v>738</v>
      </c>
      <c r="F68" s="46"/>
    </row>
    <row r="69" spans="1:6" x14ac:dyDescent="0.25">
      <c r="A69" s="43"/>
      <c r="B69" s="43"/>
      <c r="C69" s="43" t="s">
        <v>743</v>
      </c>
      <c r="D69" s="44">
        <v>0</v>
      </c>
      <c r="E69" s="43" t="s">
        <v>740</v>
      </c>
      <c r="F69" s="46"/>
    </row>
    <row r="70" spans="1:6" x14ac:dyDescent="0.25">
      <c r="A70" s="43"/>
      <c r="B70" s="43" t="s">
        <v>744</v>
      </c>
      <c r="C70" s="43"/>
      <c r="D70" s="44" t="b">
        <v>1</v>
      </c>
      <c r="E70" s="43" t="s">
        <v>745</v>
      </c>
      <c r="F70" s="46"/>
    </row>
    <row r="71" spans="1:6" x14ac:dyDescent="0.25">
      <c r="A71" s="43"/>
      <c r="B71" s="43"/>
      <c r="C71" s="43"/>
      <c r="D71" s="44"/>
      <c r="E71" s="43"/>
      <c r="F71" s="46"/>
    </row>
    <row r="72" spans="1:6" ht="105" x14ac:dyDescent="0.25">
      <c r="A72" s="43"/>
      <c r="B72" s="43"/>
      <c r="C72" s="43" t="s">
        <v>726</v>
      </c>
      <c r="D72" s="44" t="s">
        <v>727</v>
      </c>
      <c r="E72" s="43" t="s">
        <v>728</v>
      </c>
      <c r="F72" s="46" t="s">
        <v>766</v>
      </c>
    </row>
    <row r="73" spans="1:6" x14ac:dyDescent="0.25">
      <c r="A73" s="43" t="s">
        <v>729</v>
      </c>
      <c r="B73" s="43" t="s">
        <v>730</v>
      </c>
      <c r="C73" s="43"/>
      <c r="D73" s="44" t="s">
        <v>731</v>
      </c>
      <c r="E73" s="43" t="s">
        <v>732</v>
      </c>
      <c r="F73" s="46"/>
    </row>
    <row r="74" spans="1:6" x14ac:dyDescent="0.25">
      <c r="A74" s="43"/>
      <c r="B74" s="43" t="s">
        <v>733</v>
      </c>
      <c r="C74" s="43"/>
      <c r="D74" s="44" t="s">
        <v>763</v>
      </c>
      <c r="E74" s="43" t="s">
        <v>735</v>
      </c>
      <c r="F74" s="46"/>
    </row>
    <row r="75" spans="1:6" x14ac:dyDescent="0.25">
      <c r="A75" s="43"/>
      <c r="B75" s="43"/>
      <c r="C75" s="43" t="s">
        <v>736</v>
      </c>
      <c r="D75" s="44" t="s">
        <v>764</v>
      </c>
      <c r="E75" s="43" t="s">
        <v>738</v>
      </c>
      <c r="F75" s="46"/>
    </row>
    <row r="76" spans="1:6" x14ac:dyDescent="0.25">
      <c r="A76" s="43"/>
      <c r="B76" s="43"/>
      <c r="C76" s="43" t="s">
        <v>739</v>
      </c>
      <c r="D76" s="44">
        <v>0</v>
      </c>
      <c r="E76" s="43" t="s">
        <v>740</v>
      </c>
      <c r="F76" s="46"/>
    </row>
    <row r="77" spans="1:6" x14ac:dyDescent="0.25">
      <c r="A77" s="43"/>
      <c r="B77" s="43"/>
      <c r="C77" s="43" t="s">
        <v>741</v>
      </c>
      <c r="D77" s="44" t="s">
        <v>763</v>
      </c>
      <c r="E77" s="43" t="s">
        <v>735</v>
      </c>
      <c r="F77" s="46"/>
    </row>
    <row r="78" spans="1:6" x14ac:dyDescent="0.25">
      <c r="A78" s="43"/>
      <c r="B78" s="43"/>
      <c r="C78" s="43" t="s">
        <v>742</v>
      </c>
      <c r="D78" s="44" t="s">
        <v>764</v>
      </c>
      <c r="E78" s="43" t="s">
        <v>738</v>
      </c>
      <c r="F78" s="46"/>
    </row>
    <row r="79" spans="1:6" x14ac:dyDescent="0.25">
      <c r="A79" s="43"/>
      <c r="B79" s="43"/>
      <c r="C79" s="43" t="s">
        <v>743</v>
      </c>
      <c r="D79" s="44">
        <v>0</v>
      </c>
      <c r="E79" s="43" t="s">
        <v>740</v>
      </c>
      <c r="F79" s="46"/>
    </row>
    <row r="80" spans="1:6" x14ac:dyDescent="0.25">
      <c r="A80" s="43"/>
      <c r="B80" s="43" t="s">
        <v>744</v>
      </c>
      <c r="C80" s="43"/>
      <c r="D80" s="44" t="b">
        <v>1</v>
      </c>
      <c r="E80" s="43" t="s">
        <v>745</v>
      </c>
      <c r="F80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Index</vt:lpstr>
      <vt:lpstr>Check List</vt:lpstr>
      <vt:lpstr>ApplicationInstance Migration</vt:lpstr>
      <vt:lpstr>AppExceptionLogger</vt:lpstr>
      <vt:lpstr>ExceptionReporting</vt:lpstr>
      <vt:lpstr>ThreadSafeExceptionReporting</vt:lpstr>
      <vt:lpstr>Compiler Diagnostics</vt:lpstr>
      <vt:lpstr>Extra Linefeed</vt:lpstr>
      <vt:lpstr>No Gun Jumping</vt:lpstr>
      <vt:lpstr>ThreadSafeExceptionReporting_Defined</vt:lpstr>
      <vt:lpstr>Visual_Studio_Source_Code</vt:lpstr>
    </vt:vector>
  </TitlesOfParts>
  <Company>Simple Soft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Exception Reporting Rationalization</dc:title>
  <dc:subject>      WizardWrx.ConsoleAppAids Class Library for Microsoft .NET Framework</dc:subject>
  <dc:creator>David A. Gray</dc:creator>
  <cp:lastModifiedBy>David A. Gray</cp:lastModifiedBy>
  <dcterms:created xsi:type="dcterms:W3CDTF">2013-10-12T17:21:37Z</dcterms:created>
  <dcterms:modified xsi:type="dcterms:W3CDTF">2014-06-23T21:01:10Z</dcterms:modified>
</cp:coreProperties>
</file>