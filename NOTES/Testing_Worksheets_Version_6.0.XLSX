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7025" windowHeight="6975" tabRatio="676" activeTab="1"/>
  </bookViews>
  <sheets>
    <sheet name="Index" sheetId="7" r:id="rId1"/>
    <sheet name="Index of Named Ranges" sheetId="6" r:id="rId2"/>
    <sheet name="Locals_in_Main" sheetId="1" r:id="rId3"/>
    <sheet name="Entering_WaitForCarbonUnit" sheetId="2" r:id="rId4"/>
    <sheet name="Entering_ErrorExit" sheetId="3" r:id="rId5"/>
    <sheet name="Windows Event Log IMPORT" sheetId="5" r:id="rId6"/>
    <sheet name="FixedConsoleWriter SideBySide" sheetId="4" r:id="rId7"/>
    <sheet name="WizardWrx AppEvents 20151114" sheetId="8" r:id="rId8"/>
  </sheets>
  <definedNames>
    <definedName name="__Workbook_Index">Index!$A$1:$A$6</definedName>
    <definedName name="Application_ZAPHOD42_20140305_004026" localSheetId="5">'Windows Event Log IMPORT'!$A$2:$I$3</definedName>
  </definedNames>
  <calcPr calcId="145621"/>
</workbook>
</file>

<file path=xl/calcChain.xml><?xml version="1.0" encoding="utf-8"?>
<calcChain xmlns="http://schemas.openxmlformats.org/spreadsheetml/2006/main">
  <c r="D2" i="6" l="1"/>
  <c r="E2" i="6"/>
  <c r="C3" i="6"/>
  <c r="D3" i="6"/>
  <c r="E3" i="6"/>
  <c r="F3" i="6"/>
  <c r="G3" i="6"/>
  <c r="H3" i="6"/>
  <c r="C4" i="6"/>
  <c r="D4" i="6"/>
  <c r="E4" i="6"/>
  <c r="F4" i="6"/>
  <c r="G4" i="6"/>
  <c r="H4" i="6"/>
  <c r="C5" i="6"/>
  <c r="D5" i="6"/>
  <c r="E5" i="6"/>
  <c r="F5" i="6"/>
  <c r="G5" i="6"/>
  <c r="H5" i="6"/>
  <c r="C6" i="6"/>
  <c r="D6" i="6"/>
  <c r="E6" i="6"/>
  <c r="F6" i="6"/>
  <c r="G6" i="6"/>
  <c r="H6" i="6"/>
  <c r="C7" i="6"/>
  <c r="D7" i="6"/>
  <c r="E7" i="6"/>
  <c r="F7" i="6"/>
  <c r="G7" i="6"/>
  <c r="H7" i="6"/>
  <c r="C8" i="6"/>
  <c r="D8" i="6"/>
  <c r="E8" i="6"/>
  <c r="F8" i="6"/>
  <c r="G8" i="6"/>
  <c r="H8" i="6"/>
  <c r="C9" i="6"/>
  <c r="D9" i="6"/>
  <c r="E9" i="6"/>
  <c r="F9" i="6"/>
  <c r="G9" i="6"/>
  <c r="H9" i="6"/>
  <c r="C10" i="6"/>
  <c r="D10" i="6"/>
  <c r="E10" i="6"/>
  <c r="F10" i="6"/>
  <c r="G10" i="6"/>
  <c r="H10" i="6"/>
  <c r="C11" i="6"/>
  <c r="D11" i="6"/>
  <c r="E11" i="6"/>
  <c r="F11" i="6"/>
  <c r="G11" i="6"/>
  <c r="H11" i="6"/>
  <c r="C12" i="6"/>
  <c r="D12" i="6"/>
  <c r="E12" i="6"/>
  <c r="F12" i="6"/>
  <c r="G12" i="6"/>
  <c r="H12" i="6"/>
  <c r="C13" i="6"/>
  <c r="D13" i="6"/>
  <c r="E13" i="6"/>
  <c r="F13" i="6"/>
  <c r="G13" i="6"/>
  <c r="H13" i="6"/>
  <c r="C14" i="6"/>
  <c r="D14" i="6"/>
  <c r="E14" i="6"/>
  <c r="F14" i="6"/>
  <c r="G14" i="6"/>
  <c r="H14" i="6"/>
  <c r="C15" i="6"/>
  <c r="D15" i="6"/>
  <c r="E15" i="6"/>
  <c r="F15" i="6"/>
  <c r="G15" i="6"/>
  <c r="H15" i="6"/>
  <c r="C16" i="6"/>
  <c r="D16" i="6"/>
  <c r="E16" i="6"/>
  <c r="F16" i="6"/>
  <c r="G16" i="6"/>
  <c r="H16" i="6"/>
  <c r="C17" i="6"/>
  <c r="D17" i="6"/>
  <c r="E17" i="6"/>
  <c r="F17" i="6"/>
  <c r="G17" i="6"/>
  <c r="H17" i="6"/>
  <c r="C18" i="6"/>
  <c r="D18" i="6"/>
  <c r="E18" i="6"/>
  <c r="F18" i="6"/>
  <c r="G18" i="6"/>
  <c r="H18" i="6"/>
  <c r="C19" i="6"/>
  <c r="D19" i="6"/>
  <c r="E19" i="6"/>
  <c r="F19" i="6"/>
  <c r="G19" i="6"/>
  <c r="H19" i="6"/>
  <c r="C20" i="6"/>
  <c r="D20" i="6"/>
  <c r="E20" i="6"/>
  <c r="F20" i="6"/>
  <c r="G20" i="6"/>
  <c r="H20" i="6"/>
  <c r="C21" i="6"/>
  <c r="D21" i="6"/>
  <c r="E21" i="6"/>
  <c r="F21" i="6"/>
  <c r="G21" i="6"/>
  <c r="H21" i="6"/>
  <c r="C22" i="6"/>
  <c r="D22" i="6"/>
  <c r="E22" i="6"/>
  <c r="F22" i="6"/>
  <c r="G22" i="6"/>
  <c r="H22" i="6"/>
  <c r="C2" i="6"/>
  <c r="G2" i="6"/>
  <c r="F2" i="6"/>
  <c r="H2" i="6" l="1"/>
  <c r="B11" i="4"/>
  <c r="B10" i="4"/>
  <c r="B9" i="4"/>
  <c r="B8" i="4"/>
  <c r="B7" i="4"/>
  <c r="B6" i="4"/>
  <c r="B5" i="4"/>
  <c r="B4" i="4"/>
  <c r="A5" i="4"/>
  <c r="A6" i="4" s="1"/>
  <c r="A7" i="4" s="1"/>
  <c r="A8" i="4" s="1"/>
  <c r="A9" i="4" s="1"/>
  <c r="A10" i="4" s="1"/>
  <c r="A11" i="4" s="1"/>
  <c r="A4" i="4"/>
  <c r="B3" i="4"/>
  <c r="A3" i="4"/>
</calcChain>
</file>

<file path=xl/connections.xml><?xml version="1.0" encoding="utf-8"?>
<connections xmlns="http://schemas.openxmlformats.org/spreadsheetml/2006/main">
  <connection id="1" name="Application_ZAPHOD42_20140305_004026" type="6" refreshedVersion="4" background="1" saveData="1">
    <textPr codePage="437" firstRow="2" sourceFile="C:\Users\DAVE\Documents\Visual Studio 2013\Projects\WizardWrx_Libs\ConsoleAppAids2\NOTES\Test_Data\ApplicationEvents_WizardWrx_ENIGMA_20151115_093739.TXT">
      <textFields count="9">
        <textField/>
        <textField/>
        <textField/>
        <textField/>
        <textField/>
        <textField/>
        <textField/>
        <textField/>
        <textField type="text"/>
      </textFields>
    </textPr>
  </connection>
</connections>
</file>

<file path=xl/sharedStrings.xml><?xml version="1.0" encoding="utf-8"?>
<sst xmlns="http://schemas.openxmlformats.org/spreadsheetml/2006/main" count="694" uniqueCount="300">
  <si>
    <t>-</t>
  </si>
  <si>
    <t>pastrArgs</t>
  </si>
  <si>
    <t>{string[1]}</t>
  </si>
  <si>
    <t>string[]</t>
  </si>
  <si>
    <t>[0]</t>
  </si>
  <si>
    <t>string</t>
  </si>
  <si>
    <t>cmdArgs</t>
  </si>
  <si>
    <t>{WizardWrx.ApplicationHelpers2.CmdLneArgsBasic}</t>
  </si>
  <si>
    <t>WizardWrx.ApplicationHelpers2.CmdLneArgsBasic</t>
  </si>
  <si>
    <t>base</t>
  </si>
  <si>
    <t>System.Collections.Generic.Dictionary&lt;string,string&gt; {WizardWrx.ApplicationHelpers2.CmdLneArgsBasic}</t>
  </si>
  <si>
    <t>_syncRoot</t>
  </si>
  <si>
    <t>null</t>
  </si>
  <si>
    <t>object</t>
  </si>
  <si>
    <t>+</t>
  </si>
  <si>
    <t>buckets</t>
  </si>
  <si>
    <t>{int[7]}</t>
  </si>
  <si>
    <t>int[]</t>
  </si>
  <si>
    <t>comparer</t>
  </si>
  <si>
    <t>{System.Collections.Generic.GenericEqualityComparer&lt;string&gt;}</t>
  </si>
  <si>
    <t>System.Collections.Generic.IEqualityComparer&lt;string&gt; {System.Collections.Generic.GenericEqualityComparer&lt;string&gt;}</t>
  </si>
  <si>
    <t>Comparer</t>
  </si>
  <si>
    <t>Count</t>
  </si>
  <si>
    <t>int</t>
  </si>
  <si>
    <t>count</t>
  </si>
  <si>
    <t>entries</t>
  </si>
  <si>
    <t>{System.Collections.Generic.Dictionary&lt;string,string&gt;.Entry[7]}</t>
  </si>
  <si>
    <t>System.Collections.Generic.Dictionary&lt;string,string&gt;.Entry[]</t>
  </si>
  <si>
    <t>{System.Collections.Generic.Dictionary&lt;string,string&gt;.Entry}</t>
  </si>
  <si>
    <t>System.Collections.Generic.Dictionary&lt;string,string&gt;.Entry</t>
  </si>
  <si>
    <t>hashCode</t>
  </si>
  <si>
    <t>key</t>
  </si>
  <si>
    <t>S_t</t>
  </si>
  <si>
    <t>next</t>
  </si>
  <si>
    <t>value</t>
  </si>
  <si>
    <t>timederrs</t>
  </si>
  <si>
    <t>[1]</t>
  </si>
  <si>
    <t>S_o</t>
  </si>
  <si>
    <t>OFF</t>
  </si>
  <si>
    <t>[2]</t>
  </si>
  <si>
    <t>S_w</t>
  </si>
  <si>
    <t>[3]</t>
  </si>
  <si>
    <t>N_count</t>
  </si>
  <si>
    <t>[4]</t>
  </si>
  <si>
    <t>N_interval</t>
  </si>
  <si>
    <t>[5]</t>
  </si>
  <si>
    <t>[6]</t>
  </si>
  <si>
    <t>freeCount</t>
  </si>
  <si>
    <t>freeList</t>
  </si>
  <si>
    <t>keys</t>
  </si>
  <si>
    <t>System.Collections.Generic.Dictionary&lt;string,string&gt;.KeyCollection</t>
  </si>
  <si>
    <t>Keys</t>
  </si>
  <si>
    <t>{System.Collections.Generic.Dictionary&lt;string,string&gt;.KeyCollection}</t>
  </si>
  <si>
    <t>dictionary</t>
  </si>
  <si>
    <t>[WizardWrx.ApplicationHelpers2.CmdLneArgsBasic]</t>
  </si>
  <si>
    <t>{object}</t>
  </si>
  <si>
    <t>m_siInfo</t>
  </si>
  <si>
    <t>System.Runtime.Serialization.SerializationInfo</t>
  </si>
  <si>
    <t>System.Collections.Generic.ICollection&lt;System.Collections.Generic.KeyValuePair&lt;TKey,TValue&gt;&gt;.IsReadOnly</t>
  </si>
  <si>
    <t>bool</t>
  </si>
  <si>
    <t>System.Collections.Generic.IDictionary&lt;TKey,TValue&gt;.Keys</t>
  </si>
  <si>
    <t>System.Collections.Generic.ICollection&lt;string&gt; {System.Collections.Generic.Dictionary&lt;string,string&gt;.KeyCollection}</t>
  </si>
  <si>
    <t>System.Collections.Generic.IDictionary&lt;TKey,TValue&gt;.Values</t>
  </si>
  <si>
    <t>{System.Collections.Generic.Dictionary&lt;string,string&gt;.ValueCollection}</t>
  </si>
  <si>
    <t>System.Collections.Generic.ICollection&lt;string&gt; {System.Collections.Generic.Dictionary&lt;string,string&gt;.ValueCollection}</t>
  </si>
  <si>
    <t>System.Collections.ICollection.IsSynchronized</t>
  </si>
  <si>
    <t>System.Collections.ICollection.SyncRoot</t>
  </si>
  <si>
    <t>System.Collections.IDictionary.IsFixedSize</t>
  </si>
  <si>
    <t>System.Collections.IDictionary.IsReadOnly</t>
  </si>
  <si>
    <t>System.Collections.IDictionary.Keys</t>
  </si>
  <si>
    <t>System.Collections.ICollection {System.Collections.Generic.Dictionary&lt;string,string&gt;.KeyCollection}</t>
  </si>
  <si>
    <t>System.Collections.IDictionary.Values</t>
  </si>
  <si>
    <t>System.Collections.ICollection {System.Collections.Generic.Dictionary&lt;string,string&gt;.ValueCollection}</t>
  </si>
  <si>
    <t>values</t>
  </si>
  <si>
    <t>System.Collections.Generic.Dictionary&lt;string,string&gt;.ValueCollection</t>
  </si>
  <si>
    <t>Values</t>
  </si>
  <si>
    <t>version</t>
  </si>
  <si>
    <t>Static members</t>
  </si>
  <si>
    <t>ComparerName</t>
  </si>
  <si>
    <t>HashSizeName</t>
  </si>
  <si>
    <t>HashSize</t>
  </si>
  <si>
    <t>KeyValuePairsName</t>
  </si>
  <si>
    <t>KeyValuePairs</t>
  </si>
  <si>
    <t>VersionName</t>
  </si>
  <si>
    <t>Version</t>
  </si>
  <si>
    <t>System.Collections.Generic.ICollection&lt;TKey&gt;.IsReadOnly</t>
  </si>
  <si>
    <t>_enmArgMatching</t>
  </si>
  <si>
    <t>CaseInsensitive</t>
  </si>
  <si>
    <t>WizardWrx.ApplicationHelpers2.CmdLneArgsBasic.ArgMatching</t>
  </si>
  <si>
    <t>_enmArgType</t>
  </si>
  <si>
    <t>{WizardWrx.ApplicationHelpers2.CmdLneArgsBasic.ArgType[1]}</t>
  </si>
  <si>
    <t>WizardWrx.ApplicationHelpers2.CmdLneArgsBasic.ArgType[]</t>
  </si>
  <si>
    <t>Switch</t>
  </si>
  <si>
    <t>WizardWrx.ApplicationHelpers2.CmdLneArgsBasic.ArgType</t>
  </si>
  <si>
    <t>_fAllowEmptyStringAsDefault</t>
  </si>
  <si>
    <t>_fArgListIsEmpty</t>
  </si>
  <si>
    <t>_intDefinedNamedArgs</t>
  </si>
  <si>
    <t>_intDefinedSwitches</t>
  </si>
  <si>
    <t>_intInvalidNamedArgsInCmd</t>
  </si>
  <si>
    <t>_intInvalidSwitchesInCmd</t>
  </si>
  <si>
    <t>_intPositionalArgCountLimit</t>
  </si>
  <si>
    <t>_intPositionalArgsInCmdLine</t>
  </si>
  <si>
    <t>_intValidNmedArgsInCmd</t>
  </si>
  <si>
    <t>_intValidSwitchesInCmd</t>
  </si>
  <si>
    <t>AllowEmptyStringAsDefault</t>
  </si>
  <si>
    <t>ArgListIsEmpty</t>
  </si>
  <si>
    <t>ArgumentMatching</t>
  </si>
  <si>
    <t>ArgumentTypeArray</t>
  </si>
  <si>
    <t>DefinedNamedArgs</t>
  </si>
  <si>
    <t>DefinedSwitches</t>
  </si>
  <si>
    <t>InvalidArgsCount</t>
  </si>
  <si>
    <t>InvalidNamedArgsInCmd</t>
  </si>
  <si>
    <t>InvalidSwitchesInCmd</t>
  </si>
  <si>
    <t>PositionalArgsInCmdLine</t>
  </si>
  <si>
    <t>ValidNamedArgsInCmdLine</t>
  </si>
  <si>
    <t>ValidSwitchesInCmdLine</t>
  </si>
  <si>
    <t>_achrNameValueDelimiter</t>
  </si>
  <si>
    <t>{char[1]}</t>
  </si>
  <si>
    <t>char[]</t>
  </si>
  <si>
    <t>ARG_KEY_FMT</t>
  </si>
  <si>
    <t>{0}_{1}</t>
  </si>
  <si>
    <t>ARG_LIST_HAS_ARGS</t>
  </si>
  <si>
    <t>ARG_LIST_IS_EMPTY</t>
  </si>
  <si>
    <t>ARGNAME_VALID_NAMES</t>
  </si>
  <si>
    <t>pastrValiddArgNames</t>
  </si>
  <si>
    <t>BLANK_AS_DEFAULT_ALLOWED</t>
  </si>
  <si>
    <t>BLANK_AS_DEFAULT_FORBIDDEN</t>
  </si>
  <si>
    <t>COLLECTION_IS_EMPTY</t>
  </si>
  <si>
    <t>EMPTY_ALIAS_LIST</t>
  </si>
  <si>
    <t>The list of aliases is empty.</t>
  </si>
  <si>
    <t>FIRST_POSITIONAL_ARG</t>
  </si>
  <si>
    <t>NAME_VALUE_DELIMITER</t>
  </si>
  <si>
    <t>61 '='</t>
  </si>
  <si>
    <t>char</t>
  </si>
  <si>
    <t>NAMED_ARG_PREFIX</t>
  </si>
  <si>
    <t>78 'N'</t>
  </si>
  <si>
    <t>NONE</t>
  </si>
  <si>
    <t>NVP_NAME</t>
  </si>
  <si>
    <t>NVP_STOP_AT_FIRST_DELIMITER</t>
  </si>
  <si>
    <t>NVP_VALUE</t>
  </si>
  <si>
    <t>PATENTLY_INVALID_ORDINAL</t>
  </si>
  <si>
    <t>PGM_NAME_ONLY</t>
  </si>
  <si>
    <t>POSITIONAL_ARG_PREFIX</t>
  </si>
  <si>
    <t>80 'P'</t>
  </si>
  <si>
    <t>POSITIONAL_ARGS_COUNT_LIMIT</t>
  </si>
  <si>
    <t>SKIP_PGM_NAME_ARG</t>
  </si>
  <si>
    <t>SUBSTRING_NOT_FOUND</t>
  </si>
  <si>
    <t>SW_ARG_POS</t>
  </si>
  <si>
    <t>SW_MIN_LEN</t>
  </si>
  <si>
    <t>SW_NAME_LEN</t>
  </si>
  <si>
    <t>SW_NAME_POS</t>
  </si>
  <si>
    <t>SWITCH_ARG_PREFIX</t>
  </si>
  <si>
    <t>83 'S'</t>
  </si>
  <si>
    <t>SWITCH_IS_OFF</t>
  </si>
  <si>
    <t>SWITCH_IS_ON</t>
  </si>
  <si>
    <t>ON</t>
  </si>
  <si>
    <t>VALUE_NOT_SET</t>
  </si>
  <si>
    <t>strDeferredMessage</t>
  </si>
  <si>
    <t>enmOutputFormat</t>
  </si>
  <si>
    <t>Verbose</t>
  </si>
  <si>
    <t>TestStand.Program.OutputFormat</t>
  </si>
  <si>
    <t>strSingleTest</t>
  </si>
  <si>
    <t>THIS_METHOD_NAME</t>
  </si>
  <si>
    <t>Main</t>
  </si>
  <si>
    <t>-ttimederrs</t>
  </si>
  <si>
    <t>Value</t>
  </si>
  <si>
    <t>Type</t>
  </si>
  <si>
    <t>Top Level Symbol</t>
  </si>
  <si>
    <t>2nd Level Symbol</t>
  </si>
  <si>
    <t>3rd Level Symbol</t>
  </si>
  <si>
    <t>4th Level Symbol</t>
  </si>
  <si>
    <t>5th Level Symbol</t>
  </si>
  <si>
    <t>6th Level Symbol</t>
  </si>
  <si>
    <t>pstrPrompt</t>
  </si>
  <si>
    <t>To start the test in earnest, press the RETURN key.</t>
  </si>
  <si>
    <t>cki</t>
  </si>
  <si>
    <t>{System.ConsoleKeyInfo}</t>
  </si>
  <si>
    <t>System.ConsoleKeyInfo</t>
  </si>
  <si>
    <t>_key</t>
  </si>
  <si>
    <t>System.ConsoleKey</t>
  </si>
  <si>
    <t>_keyChar</t>
  </si>
  <si>
    <t>0 '\0'</t>
  </si>
  <si>
    <t>_mods</t>
  </si>
  <si>
    <t>System.ConsoleModifiers</t>
  </si>
  <si>
    <t>Key</t>
  </si>
  <si>
    <t>KeyChar</t>
  </si>
  <si>
    <t>Modifiers</t>
  </si>
  <si>
    <t>ECHO_OFF</t>
  </si>
  <si>
    <t>this</t>
  </si>
  <si>
    <t>{WizardWrx.ConsoleAppAids2.ConsoleAppStateManager}</t>
  </si>
  <si>
    <t>WizardWrx.ConsoleAppAids2.ConsoleAppStateManager</t>
  </si>
  <si>
    <t>_fBoJMessageGenerated</t>
  </si>
  <si>
    <t>_me</t>
  </si>
  <si>
    <t>{WizardWrx.DLLServices2.StateManager}</t>
  </si>
  <si>
    <t>WizardWrx.DLLServices2.StateManager</t>
  </si>
  <si>
    <t>BaseStateManager</t>
  </si>
  <si>
    <t>_astrErrorMessages</t>
  </si>
  <si>
    <t>{string[3]}</t>
  </si>
  <si>
    <t>The task completed successfully.</t>
  </si>
  <si>
    <t>A run-time exception has occurred.</t>
  </si>
  <si>
    <t>Testing the Error Stop</t>
  </si>
  <si>
    <t>_fltConsoleMessageTimeFormat</t>
  </si>
  <si>
    <t>{WizardWrx.DLLServices2.TimeDisplayFormatter}</t>
  </si>
  <si>
    <t>WizardWrx.DLLServices2.TimeDisplayFormatter</t>
  </si>
  <si>
    <t>_fShowUTCTime</t>
  </si>
  <si>
    <t>_intAppReturnCode</t>
  </si>
  <si>
    <t>_MyRootAssembly</t>
  </si>
  <si>
    <t>{WizardWrx.My}</t>
  </si>
  <si>
    <t>WizardWrx.My</t>
  </si>
  <si>
    <t>_pvtExceptionLogger</t>
  </si>
  <si>
    <t>{WizardWrx.DLLServices2.ExceptionLogger}</t>
  </si>
  <si>
    <t>WizardWrx.DLLServices2.ExceptionLogger</t>
  </si>
  <si>
    <t>_uintAppSubsystemID</t>
  </si>
  <si>
    <t>uint</t>
  </si>
  <si>
    <t>AppErrorMessages</t>
  </si>
  <si>
    <t>AppExceptionLogger</t>
  </si>
  <si>
    <t>AppReturnCode</t>
  </si>
  <si>
    <t>AppRootAssembly</t>
  </si>
  <si>
    <t>AppRootAssemblyFileBaseName</t>
  </si>
  <si>
    <t>TestStand</t>
  </si>
  <si>
    <t>AppRootAssemblyFileDirName</t>
  </si>
  <si>
    <t>C:\\Users\\DAVE\\Documents\\Visual Studio 2013\\Projects\\WizardWrx_Libs\\ConsoleAppAids2\\TestStand\\bin\\Debug</t>
  </si>
  <si>
    <t>AppRootAssemblyFileName</t>
  </si>
  <si>
    <t>TestStand.exe</t>
  </si>
  <si>
    <t>AppStartupTimeLocal</t>
  </si>
  <si>
    <t>{2015-06-06 00:31:28}</t>
  </si>
  <si>
    <t>System.DateTime</t>
  </si>
  <si>
    <t>AppStartupTimeUtc</t>
  </si>
  <si>
    <t>{2015-06-06 05:31:28}</t>
  </si>
  <si>
    <t>AppSubsystemID</t>
  </si>
  <si>
    <t>ConsoleMessageTimeFormat</t>
  </si>
  <si>
    <t>InitialWorkingDirectoryName</t>
  </si>
  <si>
    <t>ShowUTCTime</t>
  </si>
  <si>
    <t>_lwlMaster</t>
  </si>
  <si>
    <t>{WizardWrx.LockWithLabel}</t>
  </si>
  <si>
    <t>WizardWrx.LockWithLabel</t>
  </si>
  <si>
    <t>_TheInstance</t>
  </si>
  <si>
    <t>LOCK_LBL</t>
  </si>
  <si>
    <t>ConsoleAppStateManager</t>
  </si>
  <si>
    <t>TIMED_WAIT_BACKGROUND_COLOR_DEFAULT</t>
  </si>
  <si>
    <t>Black</t>
  </si>
  <si>
    <t>System.ConsoleColor</t>
  </si>
  <si>
    <t>TIMED_WAIT_DEFAULT_SECONDS</t>
  </si>
  <si>
    <t>TIMED_WAIT_INTERRUPT_CRITERION</t>
  </si>
  <si>
    <t>CarriageReturn</t>
  </si>
  <si>
    <t>WizardWrx.ConsoleAppAids2.DisplayAids.InterruptCriterion</t>
  </si>
  <si>
    <t>TIMED_WAIT_TEXT_COLOR_DEFAULT</t>
  </si>
  <si>
    <t>TIMED_WAIT_WAITING_FOR_DEFAULT</t>
  </si>
  <si>
    <t>puintStatusCode</t>
  </si>
  <si>
    <t>TestStand, version 5.5.380.24161</t>
  </si>
  <si>
    <t>Begin @ 2015-06-17 14:25:25.318 (2015-06-17 19:25:25.318 UTC)</t>
  </si>
  <si>
    <t>Test # 1 begin</t>
  </si>
  <si>
    <t xml:space="preserve">    Recycle the lines used by the last test.</t>
  </si>
  <si>
    <t xml:space="preserve">    Test a FixedConsoleWriter with default foreground color and</t>
  </si>
  <si>
    <t xml:space="preserve">           default background color.</t>
  </si>
  <si>
    <t>This is a test.</t>
  </si>
  <si>
    <t>Offset</t>
  </si>
  <si>
    <t>Ordinal</t>
  </si>
  <si>
    <t>Console Output</t>
  </si>
  <si>
    <t>Test 1</t>
  </si>
  <si>
    <t>Test 2</t>
  </si>
  <si>
    <t>TestStand, version 5.5.383.28083</t>
  </si>
  <si>
    <t>Begin @ 2015-06-17 16:36:07.480 (2015-06-17 21:36:07.480 UTC)</t>
  </si>
  <si>
    <t>Test # 2 begin</t>
  </si>
  <si>
    <t xml:space="preserve">    Test a FixedConsoleWriter with Yellow foreground color and</t>
  </si>
  <si>
    <t xml:space="preserve">           DarkMagenta background color.</t>
  </si>
  <si>
    <t>Test 3</t>
  </si>
  <si>
    <t>Window Row</t>
  </si>
  <si>
    <t>Message</t>
  </si>
  <si>
    <t>Category</t>
  </si>
  <si>
    <t>Event</t>
  </si>
  <si>
    <t>Time</t>
  </si>
  <si>
    <t>Machine</t>
  </si>
  <si>
    <t>Event Source</t>
  </si>
  <si>
    <t>Event Log</t>
  </si>
  <si>
    <t>Sequence</t>
  </si>
  <si>
    <t>Application</t>
  </si>
  <si>
    <t>ENIGMA</t>
  </si>
  <si>
    <t>None</t>
  </si>
  <si>
    <t>WizardWrx</t>
  </si>
  <si>
    <t>ERROR</t>
  </si>
  <si>
    <t>Cells</t>
  </si>
  <si>
    <t>Columns</t>
  </si>
  <si>
    <t>Rows</t>
  </si>
  <si>
    <t>Address</t>
  </si>
  <si>
    <t>Sheet</t>
  </si>
  <si>
    <t>Origin Cell Contents</t>
  </si>
  <si>
    <t>Absolute Address</t>
  </si>
  <si>
    <t>Name</t>
  </si>
  <si>
    <t>Index of Named Ranges</t>
  </si>
  <si>
    <t>Locals_in_Main</t>
  </si>
  <si>
    <t>Entering_WaitForCarbonUnit</t>
  </si>
  <si>
    <t>Entering_ErrorExit</t>
  </si>
  <si>
    <t>Windows Event Log IMPORT</t>
  </si>
  <si>
    <t>FixedConsoleWriter SideBySide</t>
  </si>
  <si>
    <t>__Workbook_Index</t>
  </si>
  <si>
    <t>=Index!$A$1:$A$6</t>
  </si>
  <si>
    <t xml:space="preserve">An System.FormatException exception was caught in routine Main:                 Message          = Index (zero based) must be greater than or equal to zero and less than the size of the argument list.  Exception Method = System.Text.StringBuilder AppendFormat(System.IFormatProvider, System.String, System.Object[])  Exception Source = mscorlib    Stack Trace Begin:     at System.Text.StringBuilder.AppendFormat(IFormatProvider provider, String format, Object[] args)     at System.String.Format(IFormatProvider provider, String format, Object[] args)     at System.String.Format(String format, Object[] args)     at TestStand.Program.HandleConsoleIOException(IOException pexIo) in c:\Users\DAVE\Documents\Visual Studio 2013\Projects\WizardWrx_Libs\ConsoleAppAids2\TestStand\Program.cs:line 2269     at TestStand.Program.ExerciseColorExceptionReporting() in c:\Users\DAVE\Documents\Visual Studio 2013\Projects\WizardWrx_Libs\ConsoleAppAids2\TestStand\Program.cs:line 559     at TestStand.Program.Main(String[] pastrArgs) in c:\Users\DAVE\Documents\Visual Studio 2013\Projects\WizardWrx_Libs\ConsoleAppAids2\TestStand\Program.cs:line 457  End of Stack Trace    There are no further exceptions to report.    </t>
  </si>
  <si>
    <t xml:space="preserve">An System.NullReferenceException exception was caught in routine GetDefaultEventSourceID:                 Message          = Object reference not set to an instance of an object.  Exception Method = System.String GetDefaultEventSourceID()  Exception Source = WizardWrx.DLLServices2    Stack Trace Begin:     at WizardWrx.DLLServices2.ExceptionLogger.GetDefaultEventSourceID() in c:\Users\DAVE\Documents\Visual Studio 2013\Projects\WizardWrx_Libs\DLLServices2\DLLServices2\ExceptionLogger.cs:line 2144  End of Stack Trace    There are no further exceptions to report.    </t>
  </si>
  <si>
    <t>WizardWrx AppEvents 20151114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</si>
</sst>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\ hh:mm:ss"/>
  </numFmts>
  <fonts count="11" x14ac:knownFonts="1">
    <font>
      <sz val="11"/>
      <color theme="1"/>
      <name val="Consolas"/>
      <family val="2"/>
    </font>
    <font>
      <b/>
      <sz val="12"/>
      <color theme="1"/>
      <name val="Tahoma"/>
      <family val="2"/>
    </font>
    <font>
      <b/>
      <sz val="14"/>
      <color theme="5" tint="-0.499984740745262"/>
      <name val="Tahoma"/>
      <family val="2"/>
    </font>
    <font>
      <b/>
      <sz val="11"/>
      <color theme="1"/>
      <name val="Tahoma"/>
      <family val="2"/>
    </font>
    <font>
      <b/>
      <sz val="14"/>
      <color theme="0"/>
      <name val="Tahoma"/>
      <family val="2"/>
    </font>
    <font>
      <b/>
      <sz val="12"/>
      <color indexed="43"/>
      <name val="Tahoma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nsolas"/>
      <family val="3"/>
    </font>
    <font>
      <b/>
      <sz val="11"/>
      <name val="Tahoma"/>
      <family val="2"/>
    </font>
    <font>
      <u/>
      <sz val="11"/>
      <color theme="1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indexed="18"/>
        <bgColor indexed="64"/>
      </patternFill>
    </fill>
  </fills>
  <borders count="9">
    <border>
      <left/>
      <right/>
      <top/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/>
      <right/>
      <top style="thin">
        <color theme="5" tint="-0.499984740745262"/>
      </top>
      <bottom style="thin">
        <color theme="5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0"/>
      </top>
      <bottom style="thin">
        <color theme="1" tint="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0" fontId="5" fillId="5" borderId="5"/>
    <xf numFmtId="0" fontId="6" fillId="0" borderId="0" applyNumberFormat="0" applyFill="0" applyBorder="0" applyAlignment="0" applyProtection="0"/>
    <xf numFmtId="0" fontId="7" fillId="0" borderId="0"/>
    <xf numFmtId="0" fontId="8" fillId="0" borderId="0"/>
    <xf numFmtId="0" fontId="9" fillId="0" borderId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0" fillId="2" borderId="0" xfId="0" quotePrefix="1" applyFill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2" fillId="3" borderId="1" xfId="0" applyFont="1" applyFill="1" applyBorder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5" xfId="0" applyNumberFormat="1" applyBorder="1" applyAlignment="1">
      <alignment vertical="top" wrapText="1"/>
    </xf>
    <xf numFmtId="0" fontId="0" fillId="0" borderId="5" xfId="0" applyBorder="1" applyAlignment="1">
      <alignment vertical="top"/>
    </xf>
    <xf numFmtId="164" fontId="0" fillId="0" borderId="5" xfId="0" applyNumberFormat="1" applyBorder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3" fontId="0" fillId="0" borderId="6" xfId="0" applyNumberFormat="1" applyBorder="1" applyAlignment="1">
      <alignment vertical="top"/>
    </xf>
    <xf numFmtId="0" fontId="0" fillId="0" borderId="6" xfId="0" applyBorder="1" applyAlignment="1">
      <alignment vertical="top"/>
    </xf>
    <xf numFmtId="3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4" fillId="4" borderId="8" xfId="0" applyFont="1" applyFill="1" applyBorder="1"/>
    <xf numFmtId="0" fontId="10" fillId="0" borderId="0" xfId="6"/>
  </cellXfs>
  <cellStyles count="7">
    <cellStyle name="Column_Label" xfId="1"/>
    <cellStyle name="Hyperlink" xfId="6" builtinId="8"/>
    <cellStyle name="Hyperlink 2" xfId="2"/>
    <cellStyle name="Normal" xfId="0" builtinId="0"/>
    <cellStyle name="Normal 2" xfId="3"/>
    <cellStyle name="Normal 3" xfId="4"/>
    <cellStyle name="Row_Label" xfId="5"/>
  </cellStyles>
  <dxfs count="4">
    <dxf>
      <fill>
        <patternFill>
          <bgColor rgb="FFFFFFC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FFFFCC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Application_ZAPHOD42_20140305_004026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7"/>
  <sheetViews>
    <sheetView workbookViewId="0">
      <selection activeCell="A6" sqref="A6"/>
    </sheetView>
  </sheetViews>
  <sheetFormatPr defaultRowHeight="15" x14ac:dyDescent="0.25"/>
  <cols>
    <col min="1" max="1" width="30.5" bestFit="1" customWidth="1"/>
  </cols>
  <sheetData>
    <row r="1" spans="1:1" x14ac:dyDescent="0.25">
      <c r="A1" s="23" t="s">
        <v>292</v>
      </c>
    </row>
    <row r="2" spans="1:1" x14ac:dyDescent="0.25">
      <c r="A2" s="23" t="s">
        <v>291</v>
      </c>
    </row>
    <row r="3" spans="1:1" x14ac:dyDescent="0.25">
      <c r="A3" s="23" t="s">
        <v>294</v>
      </c>
    </row>
    <row r="4" spans="1:1" x14ac:dyDescent="0.25">
      <c r="A4" s="23" t="s">
        <v>289</v>
      </c>
    </row>
    <row r="5" spans="1:1" x14ac:dyDescent="0.25">
      <c r="A5" s="23" t="s">
        <v>290</v>
      </c>
    </row>
    <row r="6" spans="1:1" x14ac:dyDescent="0.25">
      <c r="A6" s="23" t="s">
        <v>293</v>
      </c>
    </row>
    <row r="7" spans="1:1" x14ac:dyDescent="0.25">
      <c r="A7" s="23" t="s">
        <v>299</v>
      </c>
    </row>
  </sheetData>
  <sortState caseSensitive="1" ref="A1:A7">
    <sortCondition ref="A1"/>
  </sortState>
  <hyperlinks>
    <hyperlink ref="A4" location="'Index of Named Ranges'!$A$1" display="Index of Named Ranges"/>
    <hyperlink ref="A5" location="Locals_in_Main!$A$1" display="Locals_in_Main"/>
    <hyperlink ref="A2" location="Entering_WaitForCarbonUnit!$A$1" display="Entering_WaitForCarbonUnit"/>
    <hyperlink ref="A1" location="Entering_ErrorExit!$A$1" display="Entering_ErrorExit"/>
    <hyperlink ref="A6" location="'Windows Event Log IMPORT'!$A$1" display="Windows Event Log IMPORT"/>
    <hyperlink ref="A3" location="'FixedConsoleWriter SideBySide'!$A$1" display="FixedConsoleWriter SideBySide"/>
    <hyperlink ref="A7" location="'WizardWrx AppEvents 20151114'!$A$1" display="WizardWrx AppEvents 201511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89999084444715716"/>
  </sheetPr>
  <dimension ref="A1:H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B2"/>
    </sheetView>
  </sheetViews>
  <sheetFormatPr defaultRowHeight="15" x14ac:dyDescent="0.25"/>
  <cols>
    <col min="1" max="1" width="30.5" bestFit="1" customWidth="1"/>
    <col min="2" max="2" width="37.75" bestFit="1" customWidth="1"/>
    <col min="3" max="3" width="25.75" bestFit="1" customWidth="1"/>
    <col min="4" max="4" width="24.25" bestFit="1" customWidth="1"/>
    <col min="5" max="5" width="10.875" bestFit="1" customWidth="1"/>
    <col min="6" max="6" width="7.75" bestFit="1" customWidth="1"/>
    <col min="7" max="7" width="11.5" bestFit="1" customWidth="1"/>
    <col min="8" max="8" width="6.875" bestFit="1" customWidth="1"/>
  </cols>
  <sheetData>
    <row r="1" spans="1:8" ht="18" x14ac:dyDescent="0.25">
      <c r="A1" s="22" t="s">
        <v>288</v>
      </c>
      <c r="B1" s="22" t="s">
        <v>287</v>
      </c>
      <c r="C1" s="22" t="s">
        <v>286</v>
      </c>
      <c r="D1" s="22" t="s">
        <v>285</v>
      </c>
      <c r="E1" s="22" t="s">
        <v>284</v>
      </c>
      <c r="F1" s="22" t="s">
        <v>283</v>
      </c>
      <c r="G1" s="22" t="s">
        <v>282</v>
      </c>
      <c r="H1" s="22" t="s">
        <v>281</v>
      </c>
    </row>
    <row r="2" spans="1:8" x14ac:dyDescent="0.25">
      <c r="A2" s="21" t="s">
        <v>295</v>
      </c>
      <c r="B2" s="21" t="s">
        <v>296</v>
      </c>
      <c r="C2" s="21" t="str">
        <f ca="1">IF(LEN($A2)&gt;0,CELL("contents",OFFSET(INDIRECT($A2),0,0)),"")</f>
        <v>Entering_ErrorExit</v>
      </c>
      <c r="D2" s="21" t="str">
        <f>IF(LEN($B2)&gt;0,SUBSTITUTE(MID($B2,2,FIND("!",$B2)-2),"'",""),"")</f>
        <v>Index</v>
      </c>
      <c r="E2" s="21" t="str">
        <f>IF(LEN($B2)&gt;0,RIGHT($B2,LEN($B2)-FIND("!",$B2)),"")</f>
        <v>$A$1:$A$6</v>
      </c>
      <c r="F2" s="20">
        <f ca="1">IF(LEN($A2)&gt;0,ROWS(INDIRECT($A2)),"")</f>
        <v>6</v>
      </c>
      <c r="G2" s="20">
        <f ca="1">IF(LEN($A2)&gt;0,COLUMNS(INDIRECT($A2)),"")</f>
        <v>1</v>
      </c>
      <c r="H2" s="20">
        <f ca="1">IF(LEN($A2)&gt;0,F2*G2,"")</f>
        <v>6</v>
      </c>
    </row>
    <row r="3" spans="1:8" x14ac:dyDescent="0.25">
      <c r="A3" s="19"/>
      <c r="B3" s="19"/>
      <c r="C3" s="19" t="str">
        <f ca="1">IF(LEN($A3)&gt;0,CELL("contents",OFFSET(INDIRECT($A3),0,0)),"")</f>
        <v/>
      </c>
      <c r="D3" s="19" t="str">
        <f>IF(LEN($B3)&gt;0,SUBSTITUTE(MID($B3,2,FIND("!",$B3)-2),"'",""),"")</f>
        <v/>
      </c>
      <c r="E3" s="19" t="str">
        <f>IF(LEN($B3)&gt;0,RIGHT($B3,LEN($B3)-FIND("!",$B3)),"")</f>
        <v/>
      </c>
      <c r="F3" s="18" t="str">
        <f ca="1">IF(LEN($A3)&gt;0,ROWS(INDIRECT($A3)),"")</f>
        <v/>
      </c>
      <c r="G3" s="18" t="str">
        <f ca="1">IF(LEN($A3)&gt;0,COLUMNS(INDIRECT($A3)),"")</f>
        <v/>
      </c>
      <c r="H3" s="18" t="str">
        <f>IF(LEN($A3)&gt;0,F3*G3,"")</f>
        <v/>
      </c>
    </row>
    <row r="4" spans="1:8" x14ac:dyDescent="0.25">
      <c r="A4" s="19"/>
      <c r="B4" s="19"/>
      <c r="C4" s="19" t="str">
        <f ca="1">IF(LEN($A4)&gt;0,CELL("contents",OFFSET(INDIRECT($A4),0,0)),"")</f>
        <v/>
      </c>
      <c r="D4" s="19" t="str">
        <f>IF(LEN($B4)&gt;0,SUBSTITUTE(MID($B4,2,FIND("!",$B4)-2),"'",""),"")</f>
        <v/>
      </c>
      <c r="E4" s="19" t="str">
        <f>IF(LEN($B4)&gt;0,RIGHT($B4,LEN($B4)-FIND("!",$B4)),"")</f>
        <v/>
      </c>
      <c r="F4" s="18" t="str">
        <f ca="1">IF(LEN($A4)&gt;0,ROWS(INDIRECT($A4)),"")</f>
        <v/>
      </c>
      <c r="G4" s="18" t="str">
        <f ca="1">IF(LEN($A4)&gt;0,COLUMNS(INDIRECT($A4)),"")</f>
        <v/>
      </c>
      <c r="H4" s="18" t="str">
        <f>IF(LEN($A4)&gt;0,F4*G4,"")</f>
        <v/>
      </c>
    </row>
    <row r="5" spans="1:8" x14ac:dyDescent="0.25">
      <c r="A5" s="19"/>
      <c r="B5" s="19"/>
      <c r="C5" s="19" t="str">
        <f ca="1">IF(LEN($A5)&gt;0,CELL("contents",OFFSET(INDIRECT($A5),0,0)),"")</f>
        <v/>
      </c>
      <c r="D5" s="19" t="str">
        <f>IF(LEN($B5)&gt;0,SUBSTITUTE(MID($B5,2,FIND("!",$B5)-2),"'",""),"")</f>
        <v/>
      </c>
      <c r="E5" s="19" t="str">
        <f>IF(LEN($B5)&gt;0,RIGHT($B5,LEN($B5)-FIND("!",$B5)),"")</f>
        <v/>
      </c>
      <c r="F5" s="18" t="str">
        <f ca="1">IF(LEN($A5)&gt;0,ROWS(INDIRECT($A5)),"")</f>
        <v/>
      </c>
      <c r="G5" s="18" t="str">
        <f ca="1">IF(LEN($A5)&gt;0,COLUMNS(INDIRECT($A5)),"")</f>
        <v/>
      </c>
      <c r="H5" s="18" t="str">
        <f>IF(LEN($A5)&gt;0,F5*G5,"")</f>
        <v/>
      </c>
    </row>
    <row r="6" spans="1:8" x14ac:dyDescent="0.25">
      <c r="A6" s="19"/>
      <c r="B6" s="19"/>
      <c r="C6" s="19" t="str">
        <f ca="1">IF(LEN($A6)&gt;0,CELL("contents",OFFSET(INDIRECT($A6),0,0)),"")</f>
        <v/>
      </c>
      <c r="D6" s="19" t="str">
        <f>IF(LEN($B6)&gt;0,SUBSTITUTE(MID($B6,2,FIND("!",$B6)-2),"'",""),"")</f>
        <v/>
      </c>
      <c r="E6" s="19" t="str">
        <f>IF(LEN($B6)&gt;0,RIGHT($B6,LEN($B6)-FIND("!",$B6)),"")</f>
        <v/>
      </c>
      <c r="F6" s="18" t="str">
        <f ca="1">IF(LEN($A6)&gt;0,ROWS(INDIRECT($A6)),"")</f>
        <v/>
      </c>
      <c r="G6" s="18" t="str">
        <f ca="1">IF(LEN($A6)&gt;0,COLUMNS(INDIRECT($A6)),"")</f>
        <v/>
      </c>
      <c r="H6" s="18" t="str">
        <f>IF(LEN($A6)&gt;0,F6*G6,"")</f>
        <v/>
      </c>
    </row>
    <row r="7" spans="1:8" x14ac:dyDescent="0.25">
      <c r="A7" s="19"/>
      <c r="B7" s="19"/>
      <c r="C7" s="19" t="str">
        <f ca="1">IF(LEN($A7)&gt;0,CELL("contents",OFFSET(INDIRECT($A7),0,0)),"")</f>
        <v/>
      </c>
      <c r="D7" s="19" t="str">
        <f>IF(LEN($B7)&gt;0,SUBSTITUTE(MID($B7,2,FIND("!",$B7)-2),"'",""),"")</f>
        <v/>
      </c>
      <c r="E7" s="19" t="str">
        <f>IF(LEN($B7)&gt;0,RIGHT($B7,LEN($B7)-FIND("!",$B7)),"")</f>
        <v/>
      </c>
      <c r="F7" s="18" t="str">
        <f ca="1">IF(LEN($A7)&gt;0,ROWS(INDIRECT($A7)),"")</f>
        <v/>
      </c>
      <c r="G7" s="18" t="str">
        <f ca="1">IF(LEN($A7)&gt;0,COLUMNS(INDIRECT($A7)),"")</f>
        <v/>
      </c>
      <c r="H7" s="18" t="str">
        <f>IF(LEN($A7)&gt;0,F7*G7,"")</f>
        <v/>
      </c>
    </row>
    <row r="8" spans="1:8" x14ac:dyDescent="0.25">
      <c r="A8" s="19"/>
      <c r="B8" s="19"/>
      <c r="C8" s="19" t="str">
        <f ca="1">IF(LEN($A8)&gt;0,CELL("contents",OFFSET(INDIRECT($A8),0,0)),"")</f>
        <v/>
      </c>
      <c r="D8" s="19" t="str">
        <f>IF(LEN($B8)&gt;0,SUBSTITUTE(MID($B8,2,FIND("!",$B8)-2),"'",""),"")</f>
        <v/>
      </c>
      <c r="E8" s="19" t="str">
        <f>IF(LEN($B8)&gt;0,RIGHT($B8,LEN($B8)-FIND("!",$B8)),"")</f>
        <v/>
      </c>
      <c r="F8" s="18" t="str">
        <f ca="1">IF(LEN($A8)&gt;0,ROWS(INDIRECT($A8)),"")</f>
        <v/>
      </c>
      <c r="G8" s="18" t="str">
        <f ca="1">IF(LEN($A8)&gt;0,COLUMNS(INDIRECT($A8)),"")</f>
        <v/>
      </c>
      <c r="H8" s="18" t="str">
        <f>IF(LEN($A8)&gt;0,F8*G8,"")</f>
        <v/>
      </c>
    </row>
    <row r="9" spans="1:8" x14ac:dyDescent="0.25">
      <c r="A9" s="21"/>
      <c r="B9" s="21"/>
      <c r="C9" s="21" t="str">
        <f ca="1">IF(LEN($A9)&gt;0,CELL("contents",OFFSET(INDIRECT($A9),0,0)),"")</f>
        <v/>
      </c>
      <c r="D9" s="21" t="str">
        <f>IF(LEN($B9)&gt;0,SUBSTITUTE(MID($B9,2,FIND("!",$B9)-2),"'",""),"")</f>
        <v/>
      </c>
      <c r="E9" s="21" t="str">
        <f>IF(LEN($B9)&gt;0,RIGHT($B9,LEN($B9)-FIND("!",$B9)),"")</f>
        <v/>
      </c>
      <c r="F9" s="20" t="str">
        <f ca="1">IF(LEN($A9)&gt;0,ROWS(INDIRECT($A9)),"")</f>
        <v/>
      </c>
      <c r="G9" s="20" t="str">
        <f ca="1">IF(LEN($A9)&gt;0,COLUMNS(INDIRECT($A9)),"")</f>
        <v/>
      </c>
      <c r="H9" s="20" t="str">
        <f>IF(LEN($A9)&gt;0,F9*G9,"")</f>
        <v/>
      </c>
    </row>
    <row r="10" spans="1:8" x14ac:dyDescent="0.25">
      <c r="A10" s="19"/>
      <c r="B10" s="19"/>
      <c r="C10" s="19" t="str">
        <f ca="1">IF(LEN($A10)&gt;0,CELL("contents",OFFSET(INDIRECT($A10),0,0)),"")</f>
        <v/>
      </c>
      <c r="D10" s="19" t="str">
        <f>IF(LEN($B10)&gt;0,SUBSTITUTE(MID($B10,2,FIND("!",$B10)-2),"'",""),"")</f>
        <v/>
      </c>
      <c r="E10" s="19" t="str">
        <f>IF(LEN($B10)&gt;0,RIGHT($B10,LEN($B10)-FIND("!",$B10)),"")</f>
        <v/>
      </c>
      <c r="F10" s="18" t="str">
        <f ca="1">IF(LEN($A10)&gt;0,ROWS(INDIRECT($A10)),"")</f>
        <v/>
      </c>
      <c r="G10" s="18" t="str">
        <f ca="1">IF(LEN($A10)&gt;0,COLUMNS(INDIRECT($A10)),"")</f>
        <v/>
      </c>
      <c r="H10" s="18" t="str">
        <f>IF(LEN($A10)&gt;0,F10*G10,"")</f>
        <v/>
      </c>
    </row>
    <row r="11" spans="1:8" x14ac:dyDescent="0.25">
      <c r="A11" s="19"/>
      <c r="B11" s="19"/>
      <c r="C11" s="19" t="str">
        <f ca="1">IF(LEN($A11)&gt;0,CELL("contents",OFFSET(INDIRECT($A11),0,0)),"")</f>
        <v/>
      </c>
      <c r="D11" s="19" t="str">
        <f>IF(LEN($B11)&gt;0,SUBSTITUTE(MID($B11,2,FIND("!",$B11)-2),"'",""),"")</f>
        <v/>
      </c>
      <c r="E11" s="19" t="str">
        <f>IF(LEN($B11)&gt;0,RIGHT($B11,LEN($B11)-FIND("!",$B11)),"")</f>
        <v/>
      </c>
      <c r="F11" s="18" t="str">
        <f ca="1">IF(LEN($A11)&gt;0,ROWS(INDIRECT($A11)),"")</f>
        <v/>
      </c>
      <c r="G11" s="18" t="str">
        <f ca="1">IF(LEN($A11)&gt;0,COLUMNS(INDIRECT($A11)),"")</f>
        <v/>
      </c>
      <c r="H11" s="18" t="str">
        <f>IF(LEN($A11)&gt;0,F11*G11,"")</f>
        <v/>
      </c>
    </row>
    <row r="12" spans="1:8" x14ac:dyDescent="0.25">
      <c r="A12" s="19"/>
      <c r="B12" s="19"/>
      <c r="C12" s="19" t="str">
        <f ca="1">IF(LEN($A12)&gt;0,CELL("contents",OFFSET(INDIRECT($A12),0,0)),"")</f>
        <v/>
      </c>
      <c r="D12" s="19" t="str">
        <f>IF(LEN($B12)&gt;0,SUBSTITUTE(MID($B12,2,FIND("!",$B12)-2),"'",""),"")</f>
        <v/>
      </c>
      <c r="E12" s="19" t="str">
        <f>IF(LEN($B12)&gt;0,RIGHT($B12,LEN($B12)-FIND("!",$B12)),"")</f>
        <v/>
      </c>
      <c r="F12" s="18" t="str">
        <f ca="1">IF(LEN($A12)&gt;0,ROWS(INDIRECT($A12)),"")</f>
        <v/>
      </c>
      <c r="G12" s="18" t="str">
        <f ca="1">IF(LEN($A12)&gt;0,COLUMNS(INDIRECT($A12)),"")</f>
        <v/>
      </c>
      <c r="H12" s="18" t="str">
        <f>IF(LEN($A12)&gt;0,F12*G12,"")</f>
        <v/>
      </c>
    </row>
    <row r="13" spans="1:8" x14ac:dyDescent="0.25">
      <c r="A13" s="19"/>
      <c r="B13" s="19"/>
      <c r="C13" s="19" t="str">
        <f ca="1">IF(LEN($A13)&gt;0,CELL("contents",OFFSET(INDIRECT($A13),0,0)),"")</f>
        <v/>
      </c>
      <c r="D13" s="19" t="str">
        <f>IF(LEN($B13)&gt;0,SUBSTITUTE(MID($B13,2,FIND("!",$B13)-2),"'",""),"")</f>
        <v/>
      </c>
      <c r="E13" s="19" t="str">
        <f>IF(LEN($B13)&gt;0,RIGHT($B13,LEN($B13)-FIND("!",$B13)),"")</f>
        <v/>
      </c>
      <c r="F13" s="18" t="str">
        <f ca="1">IF(LEN($A13)&gt;0,ROWS(INDIRECT($A13)),"")</f>
        <v/>
      </c>
      <c r="G13" s="18" t="str">
        <f ca="1">IF(LEN($A13)&gt;0,COLUMNS(INDIRECT($A13)),"")</f>
        <v/>
      </c>
      <c r="H13" s="18" t="str">
        <f>IF(LEN($A13)&gt;0,F13*G13,"")</f>
        <v/>
      </c>
    </row>
    <row r="14" spans="1:8" x14ac:dyDescent="0.25">
      <c r="A14" s="19"/>
      <c r="B14" s="19"/>
      <c r="C14" s="19" t="str">
        <f ca="1">IF(LEN($A14)&gt;0,CELL("contents",OFFSET(INDIRECT($A14),0,0)),"")</f>
        <v/>
      </c>
      <c r="D14" s="19" t="str">
        <f>IF(LEN($B14)&gt;0,SUBSTITUTE(MID($B14,2,FIND("!",$B14)-2),"'",""),"")</f>
        <v/>
      </c>
      <c r="E14" s="19" t="str">
        <f>IF(LEN($B14)&gt;0,RIGHT($B14,LEN($B14)-FIND("!",$B14)),"")</f>
        <v/>
      </c>
      <c r="F14" s="18" t="str">
        <f ca="1">IF(LEN($A14)&gt;0,ROWS(INDIRECT($A14)),"")</f>
        <v/>
      </c>
      <c r="G14" s="18" t="str">
        <f ca="1">IF(LEN($A14)&gt;0,COLUMNS(INDIRECT($A14)),"")</f>
        <v/>
      </c>
      <c r="H14" s="18" t="str">
        <f>IF(LEN($A14)&gt;0,F14*G14,"")</f>
        <v/>
      </c>
    </row>
    <row r="15" spans="1:8" x14ac:dyDescent="0.25">
      <c r="A15" s="19"/>
      <c r="B15" s="19"/>
      <c r="C15" s="19" t="str">
        <f ca="1">IF(LEN($A15)&gt;0,CELL("contents",OFFSET(INDIRECT($A15),0,0)),"")</f>
        <v/>
      </c>
      <c r="D15" s="19" t="str">
        <f>IF(LEN($B15)&gt;0,SUBSTITUTE(MID($B15,2,FIND("!",$B15)-2),"'",""),"")</f>
        <v/>
      </c>
      <c r="E15" s="19" t="str">
        <f>IF(LEN($B15)&gt;0,RIGHT($B15,LEN($B15)-FIND("!",$B15)),"")</f>
        <v/>
      </c>
      <c r="F15" s="18" t="str">
        <f ca="1">IF(LEN($A15)&gt;0,ROWS(INDIRECT($A15)),"")</f>
        <v/>
      </c>
      <c r="G15" s="18" t="str">
        <f ca="1">IF(LEN($A15)&gt;0,COLUMNS(INDIRECT($A15)),"")</f>
        <v/>
      </c>
      <c r="H15" s="18" t="str">
        <f>IF(LEN($A15)&gt;0,F15*G15,"")</f>
        <v/>
      </c>
    </row>
    <row r="16" spans="1:8" x14ac:dyDescent="0.25">
      <c r="A16" s="21"/>
      <c r="B16" s="21"/>
      <c r="C16" s="21" t="str">
        <f ca="1">IF(LEN($A16)&gt;0,CELL("contents",OFFSET(INDIRECT($A16),0,0)),"")</f>
        <v/>
      </c>
      <c r="D16" s="21" t="str">
        <f>IF(LEN($B16)&gt;0,SUBSTITUTE(MID($B16,2,FIND("!",$B16)-2),"'",""),"")</f>
        <v/>
      </c>
      <c r="E16" s="21" t="str">
        <f>IF(LEN($B16)&gt;0,RIGHT($B16,LEN($B16)-FIND("!",$B16)),"")</f>
        <v/>
      </c>
      <c r="F16" s="20" t="str">
        <f ca="1">IF(LEN($A16)&gt;0,ROWS(INDIRECT($A16)),"")</f>
        <v/>
      </c>
      <c r="G16" s="20" t="str">
        <f ca="1">IF(LEN($A16)&gt;0,COLUMNS(INDIRECT($A16)),"")</f>
        <v/>
      </c>
      <c r="H16" s="20" t="str">
        <f>IF(LEN($A16)&gt;0,F16*G16,"")</f>
        <v/>
      </c>
    </row>
    <row r="17" spans="1:8" x14ac:dyDescent="0.25">
      <c r="A17" s="19"/>
      <c r="B17" s="19"/>
      <c r="C17" s="19" t="str">
        <f ca="1">IF(LEN($A17)&gt;0,CELL("contents",OFFSET(INDIRECT($A17),0,0)),"")</f>
        <v/>
      </c>
      <c r="D17" s="19" t="str">
        <f>IF(LEN($B17)&gt;0,SUBSTITUTE(MID($B17,2,FIND("!",$B17)-2),"'",""),"")</f>
        <v/>
      </c>
      <c r="E17" s="19" t="str">
        <f>IF(LEN($B17)&gt;0,RIGHT($B17,LEN($B17)-FIND("!",$B17)),"")</f>
        <v/>
      </c>
      <c r="F17" s="18" t="str">
        <f ca="1">IF(LEN($A17)&gt;0,ROWS(INDIRECT($A17)),"")</f>
        <v/>
      </c>
      <c r="G17" s="18" t="str">
        <f ca="1">IF(LEN($A17)&gt;0,COLUMNS(INDIRECT($A17)),"")</f>
        <v/>
      </c>
      <c r="H17" s="18" t="str">
        <f>IF(LEN($A17)&gt;0,F17*G17,"")</f>
        <v/>
      </c>
    </row>
    <row r="18" spans="1:8" x14ac:dyDescent="0.25">
      <c r="A18" s="19"/>
      <c r="B18" s="19"/>
      <c r="C18" s="19" t="str">
        <f ca="1">IF(LEN($A18)&gt;0,CELL("contents",OFFSET(INDIRECT($A18),0,0)),"")</f>
        <v/>
      </c>
      <c r="D18" s="19" t="str">
        <f>IF(LEN($B18)&gt;0,SUBSTITUTE(MID($B18,2,FIND("!",$B18)-2),"'",""),"")</f>
        <v/>
      </c>
      <c r="E18" s="19" t="str">
        <f>IF(LEN($B18)&gt;0,RIGHT($B18,LEN($B18)-FIND("!",$B18)),"")</f>
        <v/>
      </c>
      <c r="F18" s="18" t="str">
        <f ca="1">IF(LEN($A18)&gt;0,ROWS(INDIRECT($A18)),"")</f>
        <v/>
      </c>
      <c r="G18" s="18" t="str">
        <f ca="1">IF(LEN($A18)&gt;0,COLUMNS(INDIRECT($A18)),"")</f>
        <v/>
      </c>
      <c r="H18" s="18" t="str">
        <f>IF(LEN($A18)&gt;0,F18*G18,"")</f>
        <v/>
      </c>
    </row>
    <row r="19" spans="1:8" x14ac:dyDescent="0.25">
      <c r="A19" s="19"/>
      <c r="B19" s="19"/>
      <c r="C19" s="19" t="str">
        <f ca="1">IF(LEN($A19)&gt;0,CELL("contents",OFFSET(INDIRECT($A19),0,0)),"")</f>
        <v/>
      </c>
      <c r="D19" s="19" t="str">
        <f>IF(LEN($B19)&gt;0,SUBSTITUTE(MID($B19,2,FIND("!",$B19)-2),"'",""),"")</f>
        <v/>
      </c>
      <c r="E19" s="19" t="str">
        <f>IF(LEN($B19)&gt;0,RIGHT($B19,LEN($B19)-FIND("!",$B19)),"")</f>
        <v/>
      </c>
      <c r="F19" s="18" t="str">
        <f ca="1">IF(LEN($A19)&gt;0,ROWS(INDIRECT($A19)),"")</f>
        <v/>
      </c>
      <c r="G19" s="18" t="str">
        <f ca="1">IF(LEN($A19)&gt;0,COLUMNS(INDIRECT($A19)),"")</f>
        <v/>
      </c>
      <c r="H19" s="18" t="str">
        <f>IF(LEN($A19)&gt;0,F19*G19,"")</f>
        <v/>
      </c>
    </row>
    <row r="20" spans="1:8" x14ac:dyDescent="0.25">
      <c r="A20" s="19"/>
      <c r="B20" s="19"/>
      <c r="C20" s="19" t="str">
        <f ca="1">IF(LEN($A20)&gt;0,CELL("contents",OFFSET(INDIRECT($A20),0,0)),"")</f>
        <v/>
      </c>
      <c r="D20" s="19" t="str">
        <f>IF(LEN($B20)&gt;0,SUBSTITUTE(MID($B20,2,FIND("!",$B20)-2),"'",""),"")</f>
        <v/>
      </c>
      <c r="E20" s="19" t="str">
        <f>IF(LEN($B20)&gt;0,RIGHT($B20,LEN($B20)-FIND("!",$B20)),"")</f>
        <v/>
      </c>
      <c r="F20" s="18" t="str">
        <f ca="1">IF(LEN($A20)&gt;0,ROWS(INDIRECT($A20)),"")</f>
        <v/>
      </c>
      <c r="G20" s="18" t="str">
        <f ca="1">IF(LEN($A20)&gt;0,COLUMNS(INDIRECT($A20)),"")</f>
        <v/>
      </c>
      <c r="H20" s="18" t="str">
        <f>IF(LEN($A20)&gt;0,F20*G20,"")</f>
        <v/>
      </c>
    </row>
    <row r="21" spans="1:8" x14ac:dyDescent="0.25">
      <c r="A21" s="19"/>
      <c r="B21" s="19"/>
      <c r="C21" s="19" t="str">
        <f ca="1">IF(LEN($A21)&gt;0,CELL("contents",OFFSET(INDIRECT($A21),0,0)),"")</f>
        <v/>
      </c>
      <c r="D21" s="19" t="str">
        <f>IF(LEN($B21)&gt;0,SUBSTITUTE(MID($B21,2,FIND("!",$B21)-2),"'",""),"")</f>
        <v/>
      </c>
      <c r="E21" s="19" t="str">
        <f>IF(LEN($B21)&gt;0,RIGHT($B21,LEN($B21)-FIND("!",$B21)),"")</f>
        <v/>
      </c>
      <c r="F21" s="18" t="str">
        <f ca="1">IF(LEN($A21)&gt;0,ROWS(INDIRECT($A21)),"")</f>
        <v/>
      </c>
      <c r="G21" s="18" t="str">
        <f ca="1">IF(LEN($A21)&gt;0,COLUMNS(INDIRECT($A21)),"")</f>
        <v/>
      </c>
      <c r="H21" s="18" t="str">
        <f>IF(LEN($A21)&gt;0,F21*G21,"")</f>
        <v/>
      </c>
    </row>
    <row r="22" spans="1:8" x14ac:dyDescent="0.25">
      <c r="A22" s="19"/>
      <c r="B22" s="19"/>
      <c r="C22" s="19" t="str">
        <f ca="1">IF(LEN($A22)&gt;0,CELL("contents",OFFSET(INDIRECT($A22),0,0)),"")</f>
        <v/>
      </c>
      <c r="D22" s="19" t="str">
        <f>IF(LEN($B22)&gt;0,SUBSTITUTE(MID($B22,2,FIND("!",$B22)-2),"'",""),"")</f>
        <v/>
      </c>
      <c r="E22" s="19" t="str">
        <f>IF(LEN($B22)&gt;0,RIGHT($B22,LEN($B22)-FIND("!",$B22)),"")</f>
        <v/>
      </c>
      <c r="F22" s="18" t="str">
        <f ca="1">IF(LEN($A22)&gt;0,ROWS(INDIRECT($A22)),"")</f>
        <v/>
      </c>
      <c r="G22" s="18" t="str">
        <f ca="1">IF(LEN($A22)&gt;0,COLUMNS(INDIRECT($A22)),"")</f>
        <v/>
      </c>
      <c r="H22" s="18" t="str">
        <f>IF(LEN($A22)&gt;0,F22*G22,"")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"/>
  <sheetViews>
    <sheetView workbookViewId="0">
      <pane xSplit="3" ySplit="1" topLeftCell="J2" activePane="bottomRight" state="frozen"/>
      <selection pane="topRight" activeCell="D1" sqref="D1"/>
      <selection pane="bottomLeft" activeCell="A2" sqref="A2"/>
      <selection pane="bottomRight" activeCell="I1" sqref="I1:J1"/>
    </sheetView>
  </sheetViews>
  <sheetFormatPr defaultRowHeight="15" x14ac:dyDescent="0.25"/>
  <cols>
    <col min="1" max="1" width="1.875" bestFit="1" customWidth="1"/>
    <col min="3" max="3" width="19.125" bestFit="1" customWidth="1"/>
    <col min="4" max="4" width="51.625" customWidth="1"/>
    <col min="5" max="5" width="106.75" bestFit="1" customWidth="1"/>
    <col min="6" max="6" width="17.125" bestFit="1" customWidth="1"/>
    <col min="7" max="7" width="106.75" bestFit="1" customWidth="1"/>
    <col min="8" max="8" width="17.125" bestFit="1" customWidth="1"/>
    <col min="9" max="9" width="72.75" bestFit="1" customWidth="1"/>
    <col min="10" max="10" width="121.25" bestFit="1" customWidth="1"/>
  </cols>
  <sheetData>
    <row r="1" spans="1:10" x14ac:dyDescent="0.25"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165</v>
      </c>
      <c r="J1" t="s">
        <v>166</v>
      </c>
    </row>
    <row r="2" spans="1:10" x14ac:dyDescent="0.25">
      <c r="A2" t="s">
        <v>0</v>
      </c>
      <c r="C2" t="s">
        <v>1</v>
      </c>
      <c r="I2" t="s">
        <v>2</v>
      </c>
      <c r="J2" t="s">
        <v>3</v>
      </c>
    </row>
    <row r="3" spans="1:10" x14ac:dyDescent="0.25">
      <c r="A3" s="1"/>
      <c r="B3" s="1"/>
      <c r="C3" s="1"/>
      <c r="D3" s="1" t="s">
        <v>4</v>
      </c>
      <c r="E3" s="1"/>
      <c r="F3" s="1"/>
      <c r="G3" s="1"/>
      <c r="H3" s="1"/>
      <c r="I3" s="2" t="s">
        <v>164</v>
      </c>
      <c r="J3" s="1" t="s">
        <v>5</v>
      </c>
    </row>
    <row r="4" spans="1:10" x14ac:dyDescent="0.25">
      <c r="A4" t="s">
        <v>0</v>
      </c>
      <c r="C4" t="s">
        <v>6</v>
      </c>
      <c r="I4" t="s">
        <v>7</v>
      </c>
      <c r="J4" t="s">
        <v>8</v>
      </c>
    </row>
    <row r="5" spans="1:10" x14ac:dyDescent="0.25">
      <c r="A5" t="s">
        <v>0</v>
      </c>
      <c r="D5" t="s">
        <v>9</v>
      </c>
      <c r="I5" t="s">
        <v>7</v>
      </c>
      <c r="J5" t="s">
        <v>10</v>
      </c>
    </row>
    <row r="6" spans="1:10" x14ac:dyDescent="0.25">
      <c r="D6" t="s">
        <v>11</v>
      </c>
      <c r="I6" t="s">
        <v>12</v>
      </c>
      <c r="J6" t="s">
        <v>13</v>
      </c>
    </row>
    <row r="7" spans="1:10" x14ac:dyDescent="0.25">
      <c r="A7" t="s">
        <v>14</v>
      </c>
      <c r="E7" t="s">
        <v>15</v>
      </c>
      <c r="I7" t="s">
        <v>16</v>
      </c>
      <c r="J7" t="s">
        <v>17</v>
      </c>
    </row>
    <row r="8" spans="1:10" x14ac:dyDescent="0.25">
      <c r="A8" t="s">
        <v>14</v>
      </c>
      <c r="E8" t="s">
        <v>18</v>
      </c>
      <c r="I8" t="s">
        <v>19</v>
      </c>
      <c r="J8" t="s">
        <v>20</v>
      </c>
    </row>
    <row r="9" spans="1:10" x14ac:dyDescent="0.25">
      <c r="A9" t="s">
        <v>14</v>
      </c>
      <c r="E9" t="s">
        <v>21</v>
      </c>
      <c r="I9" t="s">
        <v>19</v>
      </c>
      <c r="J9" t="s">
        <v>20</v>
      </c>
    </row>
    <row r="10" spans="1:10" x14ac:dyDescent="0.25">
      <c r="E10" t="s">
        <v>22</v>
      </c>
      <c r="I10">
        <v>5</v>
      </c>
      <c r="J10" t="s">
        <v>23</v>
      </c>
    </row>
    <row r="11" spans="1:10" x14ac:dyDescent="0.25">
      <c r="E11" t="s">
        <v>24</v>
      </c>
      <c r="I11">
        <v>5</v>
      </c>
      <c r="J11" t="s">
        <v>23</v>
      </c>
    </row>
    <row r="12" spans="1:10" x14ac:dyDescent="0.25">
      <c r="A12" t="s">
        <v>0</v>
      </c>
      <c r="E12" t="s">
        <v>25</v>
      </c>
      <c r="I12" t="s">
        <v>26</v>
      </c>
      <c r="J12" t="s">
        <v>27</v>
      </c>
    </row>
    <row r="13" spans="1:10" x14ac:dyDescent="0.25">
      <c r="A13" t="s">
        <v>0</v>
      </c>
      <c r="F13" t="s">
        <v>4</v>
      </c>
      <c r="I13" t="s">
        <v>28</v>
      </c>
      <c r="J13" t="s">
        <v>29</v>
      </c>
    </row>
    <row r="14" spans="1:10" x14ac:dyDescent="0.25">
      <c r="H14" t="s">
        <v>30</v>
      </c>
      <c r="I14">
        <v>409273139</v>
      </c>
      <c r="J14" t="s">
        <v>23</v>
      </c>
    </row>
    <row r="15" spans="1:10" x14ac:dyDescent="0.25">
      <c r="H15" t="s">
        <v>31</v>
      </c>
      <c r="I15" t="s">
        <v>32</v>
      </c>
      <c r="J15" t="s">
        <v>5</v>
      </c>
    </row>
    <row r="16" spans="1:10" x14ac:dyDescent="0.25">
      <c r="H16" t="s">
        <v>33</v>
      </c>
      <c r="I16">
        <v>-1</v>
      </c>
      <c r="J16" t="s">
        <v>23</v>
      </c>
    </row>
    <row r="17" spans="1:10" x14ac:dyDescent="0.25">
      <c r="H17" t="s">
        <v>34</v>
      </c>
      <c r="I17" t="s">
        <v>35</v>
      </c>
      <c r="J17" t="s">
        <v>5</v>
      </c>
    </row>
    <row r="18" spans="1:10" x14ac:dyDescent="0.25">
      <c r="A18" t="s">
        <v>0</v>
      </c>
      <c r="F18" t="s">
        <v>36</v>
      </c>
      <c r="I18" t="s">
        <v>28</v>
      </c>
      <c r="J18" t="s">
        <v>29</v>
      </c>
    </row>
    <row r="19" spans="1:10" x14ac:dyDescent="0.25">
      <c r="H19" t="s">
        <v>30</v>
      </c>
      <c r="I19">
        <v>362218972</v>
      </c>
      <c r="J19" t="s">
        <v>23</v>
      </c>
    </row>
    <row r="20" spans="1:10" x14ac:dyDescent="0.25">
      <c r="H20" t="s">
        <v>31</v>
      </c>
      <c r="I20" t="s">
        <v>37</v>
      </c>
      <c r="J20" t="s">
        <v>5</v>
      </c>
    </row>
    <row r="21" spans="1:10" x14ac:dyDescent="0.25">
      <c r="H21" t="s">
        <v>33</v>
      </c>
      <c r="I21">
        <v>-1</v>
      </c>
      <c r="J21" t="s">
        <v>23</v>
      </c>
    </row>
    <row r="22" spans="1:10" x14ac:dyDescent="0.25">
      <c r="H22" t="s">
        <v>34</v>
      </c>
      <c r="I22" t="s">
        <v>38</v>
      </c>
      <c r="J22" t="s">
        <v>5</v>
      </c>
    </row>
    <row r="23" spans="1:10" x14ac:dyDescent="0.25">
      <c r="A23" t="s">
        <v>0</v>
      </c>
      <c r="F23" t="s">
        <v>39</v>
      </c>
      <c r="I23" t="s">
        <v>28</v>
      </c>
      <c r="J23" t="s">
        <v>29</v>
      </c>
    </row>
    <row r="24" spans="1:10" x14ac:dyDescent="0.25">
      <c r="H24" t="s">
        <v>30</v>
      </c>
      <c r="I24">
        <v>5988612</v>
      </c>
      <c r="J24" t="s">
        <v>23</v>
      </c>
    </row>
    <row r="25" spans="1:10" x14ac:dyDescent="0.25">
      <c r="H25" t="s">
        <v>31</v>
      </c>
      <c r="I25" t="s">
        <v>40</v>
      </c>
      <c r="J25" t="s">
        <v>5</v>
      </c>
    </row>
    <row r="26" spans="1:10" x14ac:dyDescent="0.25">
      <c r="H26" t="s">
        <v>33</v>
      </c>
      <c r="I26">
        <v>-1</v>
      </c>
      <c r="J26" t="s">
        <v>23</v>
      </c>
    </row>
    <row r="27" spans="1:10" x14ac:dyDescent="0.25">
      <c r="H27" t="s">
        <v>34</v>
      </c>
      <c r="I27" t="s">
        <v>38</v>
      </c>
      <c r="J27" t="s">
        <v>5</v>
      </c>
    </row>
    <row r="28" spans="1:10" x14ac:dyDescent="0.25">
      <c r="A28" t="s">
        <v>0</v>
      </c>
      <c r="F28" t="s">
        <v>41</v>
      </c>
      <c r="I28" t="s">
        <v>28</v>
      </c>
      <c r="J28" t="s">
        <v>29</v>
      </c>
    </row>
    <row r="29" spans="1:10" x14ac:dyDescent="0.25">
      <c r="H29" t="s">
        <v>30</v>
      </c>
      <c r="I29">
        <v>1161580880</v>
      </c>
      <c r="J29" t="s">
        <v>23</v>
      </c>
    </row>
    <row r="30" spans="1:10" x14ac:dyDescent="0.25">
      <c r="H30" t="s">
        <v>31</v>
      </c>
      <c r="I30" t="s">
        <v>42</v>
      </c>
      <c r="J30" t="s">
        <v>5</v>
      </c>
    </row>
    <row r="31" spans="1:10" x14ac:dyDescent="0.25">
      <c r="H31" t="s">
        <v>33</v>
      </c>
      <c r="I31">
        <v>-1</v>
      </c>
      <c r="J31" t="s">
        <v>23</v>
      </c>
    </row>
    <row r="32" spans="1:10" x14ac:dyDescent="0.25">
      <c r="H32" t="s">
        <v>34</v>
      </c>
      <c r="J32" t="s">
        <v>5</v>
      </c>
    </row>
    <row r="33" spans="1:10" x14ac:dyDescent="0.25">
      <c r="A33" t="s">
        <v>0</v>
      </c>
      <c r="F33" t="s">
        <v>43</v>
      </c>
      <c r="I33" t="s">
        <v>28</v>
      </c>
      <c r="J33" t="s">
        <v>29</v>
      </c>
    </row>
    <row r="34" spans="1:10" x14ac:dyDescent="0.25">
      <c r="H34" t="s">
        <v>30</v>
      </c>
      <c r="I34">
        <v>1172930982</v>
      </c>
      <c r="J34" t="s">
        <v>23</v>
      </c>
    </row>
    <row r="35" spans="1:10" x14ac:dyDescent="0.25">
      <c r="H35" t="s">
        <v>31</v>
      </c>
      <c r="I35" t="s">
        <v>44</v>
      </c>
      <c r="J35" t="s">
        <v>5</v>
      </c>
    </row>
    <row r="36" spans="1:10" x14ac:dyDescent="0.25">
      <c r="H36" t="s">
        <v>33</v>
      </c>
      <c r="I36">
        <v>-1</v>
      </c>
      <c r="J36" t="s">
        <v>23</v>
      </c>
    </row>
    <row r="37" spans="1:10" x14ac:dyDescent="0.25">
      <c r="H37" t="s">
        <v>34</v>
      </c>
      <c r="J37" t="s">
        <v>5</v>
      </c>
    </row>
    <row r="38" spans="1:10" x14ac:dyDescent="0.25">
      <c r="A38" t="s">
        <v>0</v>
      </c>
      <c r="F38" t="s">
        <v>45</v>
      </c>
      <c r="I38" t="s">
        <v>28</v>
      </c>
      <c r="J38" t="s">
        <v>29</v>
      </c>
    </row>
    <row r="39" spans="1:10" x14ac:dyDescent="0.25">
      <c r="H39" t="s">
        <v>30</v>
      </c>
      <c r="I39">
        <v>0</v>
      </c>
      <c r="J39" t="s">
        <v>23</v>
      </c>
    </row>
    <row r="40" spans="1:10" x14ac:dyDescent="0.25">
      <c r="H40" t="s">
        <v>31</v>
      </c>
      <c r="I40" t="s">
        <v>12</v>
      </c>
      <c r="J40" t="s">
        <v>5</v>
      </c>
    </row>
    <row r="41" spans="1:10" x14ac:dyDescent="0.25">
      <c r="H41" t="s">
        <v>33</v>
      </c>
      <c r="I41">
        <v>0</v>
      </c>
      <c r="J41" t="s">
        <v>23</v>
      </c>
    </row>
    <row r="42" spans="1:10" x14ac:dyDescent="0.25">
      <c r="H42" t="s">
        <v>34</v>
      </c>
      <c r="I42" t="s">
        <v>12</v>
      </c>
      <c r="J42" t="s">
        <v>5</v>
      </c>
    </row>
    <row r="43" spans="1:10" x14ac:dyDescent="0.25">
      <c r="A43" t="s">
        <v>0</v>
      </c>
      <c r="F43" t="s">
        <v>46</v>
      </c>
      <c r="I43" t="s">
        <v>28</v>
      </c>
      <c r="J43" t="s">
        <v>29</v>
      </c>
    </row>
    <row r="44" spans="1:10" x14ac:dyDescent="0.25">
      <c r="H44" t="s">
        <v>30</v>
      </c>
      <c r="I44">
        <v>0</v>
      </c>
      <c r="J44" t="s">
        <v>23</v>
      </c>
    </row>
    <row r="45" spans="1:10" x14ac:dyDescent="0.25">
      <c r="H45" t="s">
        <v>31</v>
      </c>
      <c r="I45" t="s">
        <v>12</v>
      </c>
      <c r="J45" t="s">
        <v>5</v>
      </c>
    </row>
    <row r="46" spans="1:10" x14ac:dyDescent="0.25">
      <c r="H46" t="s">
        <v>33</v>
      </c>
      <c r="I46">
        <v>0</v>
      </c>
      <c r="J46" t="s">
        <v>23</v>
      </c>
    </row>
    <row r="47" spans="1:10" x14ac:dyDescent="0.25">
      <c r="H47" t="s">
        <v>34</v>
      </c>
      <c r="I47" t="s">
        <v>12</v>
      </c>
      <c r="J47" t="s">
        <v>5</v>
      </c>
    </row>
    <row r="48" spans="1:10" x14ac:dyDescent="0.25">
      <c r="E48" t="s">
        <v>47</v>
      </c>
      <c r="I48">
        <v>0</v>
      </c>
      <c r="J48" t="s">
        <v>23</v>
      </c>
    </row>
    <row r="49" spans="1:10" x14ac:dyDescent="0.25">
      <c r="E49" t="s">
        <v>48</v>
      </c>
      <c r="I49">
        <v>-1</v>
      </c>
      <c r="J49" t="s">
        <v>23</v>
      </c>
    </row>
    <row r="50" spans="1:10" x14ac:dyDescent="0.25">
      <c r="E50" t="s">
        <v>49</v>
      </c>
      <c r="I50" t="s">
        <v>12</v>
      </c>
      <c r="J50" t="s">
        <v>50</v>
      </c>
    </row>
    <row r="51" spans="1:10" x14ac:dyDescent="0.25">
      <c r="A51" t="s">
        <v>0</v>
      </c>
      <c r="E51" t="s">
        <v>51</v>
      </c>
      <c r="I51" t="s">
        <v>52</v>
      </c>
      <c r="J51" t="s">
        <v>50</v>
      </c>
    </row>
    <row r="52" spans="1:10" x14ac:dyDescent="0.25">
      <c r="F52" t="s">
        <v>22</v>
      </c>
      <c r="I52">
        <v>5</v>
      </c>
      <c r="J52" t="s">
        <v>23</v>
      </c>
    </row>
    <row r="53" spans="1:10" x14ac:dyDescent="0.25">
      <c r="A53" t="s">
        <v>0</v>
      </c>
      <c r="F53" t="s">
        <v>53</v>
      </c>
      <c r="I53" t="s">
        <v>7</v>
      </c>
      <c r="J53" t="s">
        <v>10</v>
      </c>
    </row>
    <row r="54" spans="1:10" x14ac:dyDescent="0.25">
      <c r="A54" t="s">
        <v>14</v>
      </c>
      <c r="G54" t="s">
        <v>54</v>
      </c>
      <c r="I54" t="s">
        <v>7</v>
      </c>
      <c r="J54" t="s">
        <v>8</v>
      </c>
    </row>
    <row r="55" spans="1:10" x14ac:dyDescent="0.25">
      <c r="G55" t="s">
        <v>11</v>
      </c>
      <c r="I55" t="s">
        <v>55</v>
      </c>
      <c r="J55" t="s">
        <v>13</v>
      </c>
    </row>
    <row r="56" spans="1:10" x14ac:dyDescent="0.25">
      <c r="A56" t="s">
        <v>14</v>
      </c>
      <c r="G56" t="s">
        <v>15</v>
      </c>
      <c r="I56" t="s">
        <v>16</v>
      </c>
      <c r="J56" t="s">
        <v>17</v>
      </c>
    </row>
    <row r="57" spans="1:10" x14ac:dyDescent="0.25">
      <c r="A57" t="s">
        <v>14</v>
      </c>
      <c r="G57" t="s">
        <v>18</v>
      </c>
      <c r="I57" t="s">
        <v>19</v>
      </c>
      <c r="J57" t="s">
        <v>20</v>
      </c>
    </row>
    <row r="58" spans="1:10" x14ac:dyDescent="0.25">
      <c r="A58" t="s">
        <v>14</v>
      </c>
      <c r="G58" t="s">
        <v>21</v>
      </c>
      <c r="I58" t="s">
        <v>19</v>
      </c>
      <c r="J58" t="s">
        <v>20</v>
      </c>
    </row>
    <row r="59" spans="1:10" x14ac:dyDescent="0.25">
      <c r="G59" t="s">
        <v>22</v>
      </c>
      <c r="I59">
        <v>5</v>
      </c>
      <c r="J59" t="s">
        <v>23</v>
      </c>
    </row>
    <row r="60" spans="1:10" x14ac:dyDescent="0.25">
      <c r="G60" t="s">
        <v>24</v>
      </c>
      <c r="I60">
        <v>5</v>
      </c>
      <c r="J60" t="s">
        <v>23</v>
      </c>
    </row>
    <row r="61" spans="1:10" x14ac:dyDescent="0.25">
      <c r="A61" t="s">
        <v>14</v>
      </c>
      <c r="G61" t="s">
        <v>25</v>
      </c>
      <c r="I61" t="s">
        <v>26</v>
      </c>
      <c r="J61" t="s">
        <v>27</v>
      </c>
    </row>
    <row r="62" spans="1:10" x14ac:dyDescent="0.25">
      <c r="G62" t="s">
        <v>47</v>
      </c>
      <c r="I62">
        <v>0</v>
      </c>
      <c r="J62" t="s">
        <v>23</v>
      </c>
    </row>
    <row r="63" spans="1:10" x14ac:dyDescent="0.25">
      <c r="G63" t="s">
        <v>48</v>
      </c>
      <c r="I63">
        <v>-1</v>
      </c>
      <c r="J63" t="s">
        <v>23</v>
      </c>
    </row>
    <row r="64" spans="1:10" x14ac:dyDescent="0.25">
      <c r="A64" t="s">
        <v>14</v>
      </c>
      <c r="G64" t="s">
        <v>49</v>
      </c>
      <c r="I64" t="s">
        <v>52</v>
      </c>
      <c r="J64" t="s">
        <v>50</v>
      </c>
    </row>
    <row r="65" spans="1:10" x14ac:dyDescent="0.25">
      <c r="A65" t="s">
        <v>14</v>
      </c>
      <c r="G65" t="s">
        <v>51</v>
      </c>
      <c r="I65" t="s">
        <v>52</v>
      </c>
      <c r="J65" t="s">
        <v>50</v>
      </c>
    </row>
    <row r="66" spans="1:10" x14ac:dyDescent="0.25">
      <c r="A66" t="s">
        <v>14</v>
      </c>
      <c r="G66" t="s">
        <v>56</v>
      </c>
      <c r="I66" t="s">
        <v>12</v>
      </c>
      <c r="J66" t="s">
        <v>57</v>
      </c>
    </row>
    <row r="67" spans="1:10" x14ac:dyDescent="0.25">
      <c r="G67" t="s">
        <v>58</v>
      </c>
      <c r="I67" t="b">
        <v>0</v>
      </c>
      <c r="J67" t="s">
        <v>59</v>
      </c>
    </row>
    <row r="68" spans="1:10" x14ac:dyDescent="0.25">
      <c r="A68" t="s">
        <v>14</v>
      </c>
      <c r="G68" t="s">
        <v>60</v>
      </c>
      <c r="I68" t="s">
        <v>52</v>
      </c>
      <c r="J68" t="s">
        <v>61</v>
      </c>
    </row>
    <row r="69" spans="1:10" x14ac:dyDescent="0.25">
      <c r="A69" t="s">
        <v>14</v>
      </c>
      <c r="G69" t="s">
        <v>62</v>
      </c>
      <c r="I69" t="s">
        <v>63</v>
      </c>
      <c r="J69" t="s">
        <v>64</v>
      </c>
    </row>
    <row r="70" spans="1:10" x14ac:dyDescent="0.25">
      <c r="G70" t="s">
        <v>65</v>
      </c>
      <c r="I70" t="b">
        <v>0</v>
      </c>
      <c r="J70" t="s">
        <v>59</v>
      </c>
    </row>
    <row r="71" spans="1:10" x14ac:dyDescent="0.25">
      <c r="G71" t="s">
        <v>66</v>
      </c>
      <c r="I71" t="s">
        <v>55</v>
      </c>
      <c r="J71" t="s">
        <v>13</v>
      </c>
    </row>
    <row r="72" spans="1:10" x14ac:dyDescent="0.25">
      <c r="G72" t="s">
        <v>67</v>
      </c>
      <c r="I72" t="b">
        <v>0</v>
      </c>
      <c r="J72" t="s">
        <v>59</v>
      </c>
    </row>
    <row r="73" spans="1:10" x14ac:dyDescent="0.25">
      <c r="G73" t="s">
        <v>68</v>
      </c>
      <c r="I73" t="b">
        <v>0</v>
      </c>
      <c r="J73" t="s">
        <v>59</v>
      </c>
    </row>
    <row r="74" spans="1:10" x14ac:dyDescent="0.25">
      <c r="A74" t="s">
        <v>14</v>
      </c>
      <c r="G74" t="s">
        <v>69</v>
      </c>
      <c r="I74" t="s">
        <v>52</v>
      </c>
      <c r="J74" t="s">
        <v>70</v>
      </c>
    </row>
    <row r="75" spans="1:10" x14ac:dyDescent="0.25">
      <c r="A75" t="s">
        <v>14</v>
      </c>
      <c r="G75" t="s">
        <v>71</v>
      </c>
      <c r="I75" t="s">
        <v>63</v>
      </c>
      <c r="J75" t="s">
        <v>72</v>
      </c>
    </row>
    <row r="76" spans="1:10" x14ac:dyDescent="0.25">
      <c r="A76" t="s">
        <v>14</v>
      </c>
      <c r="G76" t="s">
        <v>73</v>
      </c>
      <c r="I76" t="s">
        <v>63</v>
      </c>
      <c r="J76" t="s">
        <v>74</v>
      </c>
    </row>
    <row r="77" spans="1:10" x14ac:dyDescent="0.25">
      <c r="A77" t="s">
        <v>14</v>
      </c>
      <c r="G77" t="s">
        <v>75</v>
      </c>
      <c r="I77" t="s">
        <v>63</v>
      </c>
      <c r="J77" t="s">
        <v>74</v>
      </c>
    </row>
    <row r="78" spans="1:10" x14ac:dyDescent="0.25">
      <c r="G78" t="s">
        <v>76</v>
      </c>
      <c r="I78">
        <v>6</v>
      </c>
      <c r="J78" t="s">
        <v>23</v>
      </c>
    </row>
    <row r="79" spans="1:10" x14ac:dyDescent="0.25">
      <c r="A79" t="s">
        <v>0</v>
      </c>
      <c r="G79" t="s">
        <v>77</v>
      </c>
    </row>
    <row r="80" spans="1:10" x14ac:dyDescent="0.25">
      <c r="G80" t="s">
        <v>78</v>
      </c>
      <c r="I80" t="s">
        <v>21</v>
      </c>
      <c r="J80" t="s">
        <v>5</v>
      </c>
    </row>
    <row r="81" spans="1:10" x14ac:dyDescent="0.25">
      <c r="G81" t="s">
        <v>79</v>
      </c>
      <c r="I81" t="s">
        <v>80</v>
      </c>
      <c r="J81" t="s">
        <v>5</v>
      </c>
    </row>
    <row r="82" spans="1:10" x14ac:dyDescent="0.25">
      <c r="G82" t="s">
        <v>81</v>
      </c>
      <c r="I82" t="s">
        <v>82</v>
      </c>
      <c r="J82" t="s">
        <v>5</v>
      </c>
    </row>
    <row r="83" spans="1:10" x14ac:dyDescent="0.25">
      <c r="G83" t="s">
        <v>83</v>
      </c>
      <c r="I83" t="s">
        <v>84</v>
      </c>
      <c r="J83" t="s">
        <v>5</v>
      </c>
    </row>
    <row r="84" spans="1:10" x14ac:dyDescent="0.25">
      <c r="G84" t="s">
        <v>85</v>
      </c>
      <c r="I84" t="b">
        <v>1</v>
      </c>
      <c r="J84" t="s">
        <v>59</v>
      </c>
    </row>
    <row r="85" spans="1:10" x14ac:dyDescent="0.25">
      <c r="G85" t="s">
        <v>65</v>
      </c>
      <c r="I85" t="b">
        <v>0</v>
      </c>
      <c r="J85" t="s">
        <v>59</v>
      </c>
    </row>
    <row r="86" spans="1:10" x14ac:dyDescent="0.25">
      <c r="G86" t="s">
        <v>66</v>
      </c>
      <c r="I86" t="s">
        <v>55</v>
      </c>
      <c r="J86" t="s">
        <v>13</v>
      </c>
    </row>
    <row r="87" spans="1:10" x14ac:dyDescent="0.25">
      <c r="A87" t="s">
        <v>14</v>
      </c>
      <c r="E87" t="s">
        <v>56</v>
      </c>
      <c r="I87" t="s">
        <v>12</v>
      </c>
      <c r="J87" t="s">
        <v>57</v>
      </c>
    </row>
    <row r="88" spans="1:10" x14ac:dyDescent="0.25">
      <c r="E88" t="s">
        <v>58</v>
      </c>
      <c r="I88" t="b">
        <v>0</v>
      </c>
      <c r="J88" t="s">
        <v>59</v>
      </c>
    </row>
    <row r="89" spans="1:10" x14ac:dyDescent="0.25">
      <c r="A89" t="s">
        <v>14</v>
      </c>
      <c r="E89" t="s">
        <v>60</v>
      </c>
      <c r="I89" t="s">
        <v>52</v>
      </c>
      <c r="J89" t="s">
        <v>61</v>
      </c>
    </row>
    <row r="90" spans="1:10" x14ac:dyDescent="0.25">
      <c r="A90" t="s">
        <v>14</v>
      </c>
      <c r="E90" t="s">
        <v>62</v>
      </c>
      <c r="I90" t="s">
        <v>63</v>
      </c>
      <c r="J90" t="s">
        <v>64</v>
      </c>
    </row>
    <row r="91" spans="1:10" x14ac:dyDescent="0.25">
      <c r="E91" t="s">
        <v>65</v>
      </c>
      <c r="I91" t="b">
        <v>0</v>
      </c>
      <c r="J91" t="s">
        <v>59</v>
      </c>
    </row>
    <row r="92" spans="1:10" x14ac:dyDescent="0.25">
      <c r="E92" t="s">
        <v>66</v>
      </c>
      <c r="I92" t="s">
        <v>55</v>
      </c>
      <c r="J92" t="s">
        <v>13</v>
      </c>
    </row>
    <row r="93" spans="1:10" x14ac:dyDescent="0.25">
      <c r="E93" t="s">
        <v>67</v>
      </c>
      <c r="I93" t="b">
        <v>0</v>
      </c>
      <c r="J93" t="s">
        <v>59</v>
      </c>
    </row>
    <row r="94" spans="1:10" x14ac:dyDescent="0.25">
      <c r="E94" t="s">
        <v>68</v>
      </c>
      <c r="I94" t="b">
        <v>0</v>
      </c>
      <c r="J94" t="s">
        <v>59</v>
      </c>
    </row>
    <row r="95" spans="1:10" x14ac:dyDescent="0.25">
      <c r="A95" t="s">
        <v>14</v>
      </c>
      <c r="E95" t="s">
        <v>69</v>
      </c>
      <c r="I95" t="s">
        <v>52</v>
      </c>
      <c r="J95" t="s">
        <v>70</v>
      </c>
    </row>
    <row r="96" spans="1:10" x14ac:dyDescent="0.25">
      <c r="A96" t="s">
        <v>14</v>
      </c>
      <c r="E96" t="s">
        <v>71</v>
      </c>
      <c r="I96" t="s">
        <v>63</v>
      </c>
      <c r="J96" t="s">
        <v>72</v>
      </c>
    </row>
    <row r="97" spans="1:10" x14ac:dyDescent="0.25">
      <c r="A97" t="s">
        <v>14</v>
      </c>
      <c r="E97" t="s">
        <v>73</v>
      </c>
      <c r="I97" t="s">
        <v>63</v>
      </c>
      <c r="J97" t="s">
        <v>74</v>
      </c>
    </row>
    <row r="98" spans="1:10" x14ac:dyDescent="0.25">
      <c r="A98" t="s">
        <v>14</v>
      </c>
      <c r="E98" t="s">
        <v>75</v>
      </c>
      <c r="I98" t="s">
        <v>63</v>
      </c>
      <c r="J98" t="s">
        <v>74</v>
      </c>
    </row>
    <row r="99" spans="1:10" x14ac:dyDescent="0.25">
      <c r="E99" t="s">
        <v>76</v>
      </c>
      <c r="I99">
        <v>6</v>
      </c>
      <c r="J99" t="s">
        <v>23</v>
      </c>
    </row>
    <row r="100" spans="1:10" x14ac:dyDescent="0.25">
      <c r="A100" t="s">
        <v>0</v>
      </c>
      <c r="E100" t="s">
        <v>77</v>
      </c>
    </row>
    <row r="101" spans="1:10" x14ac:dyDescent="0.25">
      <c r="E101" t="s">
        <v>78</v>
      </c>
      <c r="I101" t="s">
        <v>21</v>
      </c>
      <c r="J101" t="s">
        <v>5</v>
      </c>
    </row>
    <row r="102" spans="1:10" x14ac:dyDescent="0.25">
      <c r="E102" t="s">
        <v>79</v>
      </c>
      <c r="I102" t="s">
        <v>80</v>
      </c>
      <c r="J102" t="s">
        <v>5</v>
      </c>
    </row>
    <row r="103" spans="1:10" x14ac:dyDescent="0.25">
      <c r="E103" t="s">
        <v>81</v>
      </c>
      <c r="I103" t="s">
        <v>82</v>
      </c>
      <c r="J103" t="s">
        <v>5</v>
      </c>
    </row>
    <row r="104" spans="1:10" x14ac:dyDescent="0.25">
      <c r="E104" t="s">
        <v>83</v>
      </c>
      <c r="I104" t="s">
        <v>84</v>
      </c>
      <c r="J104" t="s">
        <v>5</v>
      </c>
    </row>
    <row r="105" spans="1:10" x14ac:dyDescent="0.25">
      <c r="E105" t="s">
        <v>86</v>
      </c>
      <c r="I105" t="s">
        <v>87</v>
      </c>
      <c r="J105" t="s">
        <v>88</v>
      </c>
    </row>
    <row r="106" spans="1:10" x14ac:dyDescent="0.25">
      <c r="A106" t="s">
        <v>0</v>
      </c>
      <c r="E106" t="s">
        <v>89</v>
      </c>
      <c r="I106" t="s">
        <v>90</v>
      </c>
      <c r="J106" t="s">
        <v>91</v>
      </c>
    </row>
    <row r="107" spans="1:10" x14ac:dyDescent="0.25">
      <c r="E107" t="s">
        <v>4</v>
      </c>
      <c r="I107" t="s">
        <v>92</v>
      </c>
      <c r="J107" t="s">
        <v>93</v>
      </c>
    </row>
    <row r="108" spans="1:10" x14ac:dyDescent="0.25">
      <c r="E108" t="s">
        <v>94</v>
      </c>
      <c r="I108" t="b">
        <v>1</v>
      </c>
      <c r="J108" t="s">
        <v>59</v>
      </c>
    </row>
    <row r="109" spans="1:10" x14ac:dyDescent="0.25">
      <c r="E109" t="s">
        <v>95</v>
      </c>
      <c r="I109" t="b">
        <v>0</v>
      </c>
      <c r="J109" t="s">
        <v>59</v>
      </c>
    </row>
    <row r="110" spans="1:10" x14ac:dyDescent="0.25">
      <c r="E110" t="s">
        <v>96</v>
      </c>
      <c r="I110">
        <v>2</v>
      </c>
      <c r="J110" t="s">
        <v>23</v>
      </c>
    </row>
    <row r="111" spans="1:10" x14ac:dyDescent="0.25">
      <c r="E111" t="s">
        <v>97</v>
      </c>
      <c r="I111">
        <v>3</v>
      </c>
      <c r="J111" t="s">
        <v>23</v>
      </c>
    </row>
    <row r="112" spans="1:10" x14ac:dyDescent="0.25">
      <c r="E112" t="s">
        <v>98</v>
      </c>
      <c r="I112">
        <v>0</v>
      </c>
      <c r="J112" t="s">
        <v>23</v>
      </c>
    </row>
    <row r="113" spans="1:10" x14ac:dyDescent="0.25">
      <c r="E113" t="s">
        <v>99</v>
      </c>
      <c r="I113">
        <v>0</v>
      </c>
      <c r="J113" t="s">
        <v>23</v>
      </c>
    </row>
    <row r="114" spans="1:10" x14ac:dyDescent="0.25">
      <c r="E114" t="s">
        <v>100</v>
      </c>
      <c r="I114">
        <v>9</v>
      </c>
      <c r="J114" t="s">
        <v>23</v>
      </c>
    </row>
    <row r="115" spans="1:10" x14ac:dyDescent="0.25">
      <c r="E115" t="s">
        <v>101</v>
      </c>
      <c r="I115">
        <v>0</v>
      </c>
      <c r="J115" t="s">
        <v>23</v>
      </c>
    </row>
    <row r="116" spans="1:10" x14ac:dyDescent="0.25">
      <c r="E116" t="s">
        <v>102</v>
      </c>
      <c r="I116">
        <v>0</v>
      </c>
      <c r="J116" t="s">
        <v>23</v>
      </c>
    </row>
    <row r="117" spans="1:10" x14ac:dyDescent="0.25">
      <c r="E117" t="s">
        <v>103</v>
      </c>
      <c r="I117">
        <v>1</v>
      </c>
      <c r="J117" t="s">
        <v>23</v>
      </c>
    </row>
    <row r="118" spans="1:10" x14ac:dyDescent="0.25">
      <c r="E118" t="s">
        <v>104</v>
      </c>
      <c r="I118" t="b">
        <v>1</v>
      </c>
      <c r="J118" t="s">
        <v>59</v>
      </c>
    </row>
    <row r="119" spans="1:10" x14ac:dyDescent="0.25">
      <c r="E119" t="s">
        <v>105</v>
      </c>
      <c r="I119" t="b">
        <v>0</v>
      </c>
      <c r="J119" t="s">
        <v>59</v>
      </c>
    </row>
    <row r="120" spans="1:10" x14ac:dyDescent="0.25">
      <c r="E120" t="s">
        <v>106</v>
      </c>
      <c r="I120" t="s">
        <v>87</v>
      </c>
      <c r="J120" t="s">
        <v>88</v>
      </c>
    </row>
    <row r="121" spans="1:10" x14ac:dyDescent="0.25">
      <c r="A121" t="s">
        <v>0</v>
      </c>
      <c r="E121" t="s">
        <v>107</v>
      </c>
      <c r="I121" t="s">
        <v>90</v>
      </c>
      <c r="J121" t="s">
        <v>91</v>
      </c>
    </row>
    <row r="122" spans="1:10" x14ac:dyDescent="0.25">
      <c r="E122" t="s">
        <v>4</v>
      </c>
      <c r="I122" t="s">
        <v>92</v>
      </c>
      <c r="J122" t="s">
        <v>93</v>
      </c>
    </row>
    <row r="123" spans="1:10" x14ac:dyDescent="0.25">
      <c r="E123" t="s">
        <v>108</v>
      </c>
      <c r="I123">
        <v>2</v>
      </c>
      <c r="J123" t="s">
        <v>23</v>
      </c>
    </row>
    <row r="124" spans="1:10" x14ac:dyDescent="0.25">
      <c r="E124" t="s">
        <v>109</v>
      </c>
      <c r="I124">
        <v>3</v>
      </c>
      <c r="J124" t="s">
        <v>23</v>
      </c>
    </row>
    <row r="125" spans="1:10" x14ac:dyDescent="0.25">
      <c r="E125" t="s">
        <v>110</v>
      </c>
      <c r="I125">
        <v>0</v>
      </c>
      <c r="J125" t="s">
        <v>23</v>
      </c>
    </row>
    <row r="126" spans="1:10" x14ac:dyDescent="0.25">
      <c r="E126" t="s">
        <v>111</v>
      </c>
      <c r="I126">
        <v>0</v>
      </c>
      <c r="J126" t="s">
        <v>23</v>
      </c>
    </row>
    <row r="127" spans="1:10" x14ac:dyDescent="0.25">
      <c r="E127" t="s">
        <v>112</v>
      </c>
      <c r="I127">
        <v>0</v>
      </c>
      <c r="J127" t="s">
        <v>23</v>
      </c>
    </row>
    <row r="128" spans="1:10" x14ac:dyDescent="0.25">
      <c r="E128" t="s">
        <v>113</v>
      </c>
      <c r="I128">
        <v>0</v>
      </c>
      <c r="J128" t="s">
        <v>23</v>
      </c>
    </row>
    <row r="129" spans="1:10" x14ac:dyDescent="0.25">
      <c r="E129" t="s">
        <v>114</v>
      </c>
      <c r="I129">
        <v>0</v>
      </c>
      <c r="J129" t="s">
        <v>23</v>
      </c>
    </row>
    <row r="130" spans="1:10" x14ac:dyDescent="0.25">
      <c r="E130" t="s">
        <v>115</v>
      </c>
      <c r="I130">
        <v>1</v>
      </c>
      <c r="J130" t="s">
        <v>23</v>
      </c>
    </row>
    <row r="131" spans="1:10" x14ac:dyDescent="0.25">
      <c r="A131" t="s">
        <v>0</v>
      </c>
      <c r="E131" t="s">
        <v>77</v>
      </c>
    </row>
    <row r="132" spans="1:10" x14ac:dyDescent="0.25">
      <c r="A132" t="s">
        <v>14</v>
      </c>
      <c r="E132" t="s">
        <v>116</v>
      </c>
      <c r="I132" t="s">
        <v>117</v>
      </c>
      <c r="J132" t="s">
        <v>118</v>
      </c>
    </row>
    <row r="133" spans="1:10" x14ac:dyDescent="0.25">
      <c r="E133" t="s">
        <v>119</v>
      </c>
      <c r="I133" t="s">
        <v>120</v>
      </c>
      <c r="J133" t="s">
        <v>5</v>
      </c>
    </row>
    <row r="134" spans="1:10" x14ac:dyDescent="0.25">
      <c r="E134" t="s">
        <v>121</v>
      </c>
      <c r="I134" t="b">
        <v>0</v>
      </c>
      <c r="J134" t="s">
        <v>59</v>
      </c>
    </row>
    <row r="135" spans="1:10" x14ac:dyDescent="0.25">
      <c r="E135" t="s">
        <v>122</v>
      </c>
      <c r="I135" t="b">
        <v>1</v>
      </c>
      <c r="J135" t="s">
        <v>59</v>
      </c>
    </row>
    <row r="136" spans="1:10" x14ac:dyDescent="0.25">
      <c r="E136" t="s">
        <v>123</v>
      </c>
      <c r="I136" t="s">
        <v>124</v>
      </c>
      <c r="J136" t="s">
        <v>5</v>
      </c>
    </row>
    <row r="137" spans="1:10" x14ac:dyDescent="0.25">
      <c r="E137" t="s">
        <v>125</v>
      </c>
      <c r="I137" t="b">
        <v>1</v>
      </c>
      <c r="J137" t="s">
        <v>59</v>
      </c>
    </row>
    <row r="138" spans="1:10" x14ac:dyDescent="0.25">
      <c r="E138" t="s">
        <v>126</v>
      </c>
      <c r="I138" t="b">
        <v>0</v>
      </c>
      <c r="J138" t="s">
        <v>59</v>
      </c>
    </row>
    <row r="139" spans="1:10" x14ac:dyDescent="0.25">
      <c r="E139" t="s">
        <v>127</v>
      </c>
      <c r="I139">
        <v>0</v>
      </c>
      <c r="J139" t="s">
        <v>23</v>
      </c>
    </row>
    <row r="140" spans="1:10" x14ac:dyDescent="0.25">
      <c r="E140" t="s">
        <v>128</v>
      </c>
      <c r="I140" t="s">
        <v>129</v>
      </c>
      <c r="J140" t="s">
        <v>5</v>
      </c>
    </row>
    <row r="141" spans="1:10" x14ac:dyDescent="0.25">
      <c r="E141" t="s">
        <v>130</v>
      </c>
      <c r="I141">
        <v>1</v>
      </c>
      <c r="J141" t="s">
        <v>23</v>
      </c>
    </row>
    <row r="142" spans="1:10" x14ac:dyDescent="0.25">
      <c r="E142" t="s">
        <v>131</v>
      </c>
      <c r="I142" t="s">
        <v>132</v>
      </c>
      <c r="J142" t="s">
        <v>133</v>
      </c>
    </row>
    <row r="143" spans="1:10" x14ac:dyDescent="0.25">
      <c r="E143" t="s">
        <v>134</v>
      </c>
      <c r="I143" t="s">
        <v>135</v>
      </c>
      <c r="J143" t="s">
        <v>133</v>
      </c>
    </row>
    <row r="144" spans="1:10" x14ac:dyDescent="0.25">
      <c r="E144" t="s">
        <v>136</v>
      </c>
      <c r="I144">
        <v>0</v>
      </c>
      <c r="J144" t="s">
        <v>23</v>
      </c>
    </row>
    <row r="145" spans="5:10" x14ac:dyDescent="0.25">
      <c r="E145" t="s">
        <v>137</v>
      </c>
      <c r="I145">
        <v>0</v>
      </c>
      <c r="J145" t="s">
        <v>23</v>
      </c>
    </row>
    <row r="146" spans="5:10" x14ac:dyDescent="0.25">
      <c r="E146" t="s">
        <v>138</v>
      </c>
      <c r="I146">
        <v>2</v>
      </c>
      <c r="J146" t="s">
        <v>23</v>
      </c>
    </row>
    <row r="147" spans="5:10" x14ac:dyDescent="0.25">
      <c r="E147" t="s">
        <v>139</v>
      </c>
      <c r="I147">
        <v>1</v>
      </c>
      <c r="J147" t="s">
        <v>23</v>
      </c>
    </row>
    <row r="148" spans="5:10" x14ac:dyDescent="0.25">
      <c r="E148" t="s">
        <v>140</v>
      </c>
      <c r="I148">
        <v>0</v>
      </c>
      <c r="J148" t="s">
        <v>23</v>
      </c>
    </row>
    <row r="149" spans="5:10" x14ac:dyDescent="0.25">
      <c r="E149" t="s">
        <v>141</v>
      </c>
      <c r="I149">
        <v>1</v>
      </c>
      <c r="J149" t="s">
        <v>23</v>
      </c>
    </row>
    <row r="150" spans="5:10" x14ac:dyDescent="0.25">
      <c r="E150" t="s">
        <v>142</v>
      </c>
      <c r="I150" t="s">
        <v>143</v>
      </c>
      <c r="J150" t="s">
        <v>133</v>
      </c>
    </row>
    <row r="151" spans="5:10" x14ac:dyDescent="0.25">
      <c r="E151" t="s">
        <v>144</v>
      </c>
      <c r="I151">
        <v>9</v>
      </c>
      <c r="J151" t="s">
        <v>23</v>
      </c>
    </row>
    <row r="152" spans="5:10" x14ac:dyDescent="0.25">
      <c r="E152" t="s">
        <v>145</v>
      </c>
      <c r="I152">
        <v>1</v>
      </c>
      <c r="J152" t="s">
        <v>23</v>
      </c>
    </row>
    <row r="153" spans="5:10" x14ac:dyDescent="0.25">
      <c r="E153" t="s">
        <v>146</v>
      </c>
      <c r="I153">
        <v>-1</v>
      </c>
      <c r="J153" t="s">
        <v>23</v>
      </c>
    </row>
    <row r="154" spans="5:10" x14ac:dyDescent="0.25">
      <c r="E154" t="s">
        <v>147</v>
      </c>
      <c r="I154">
        <v>2</v>
      </c>
      <c r="J154" t="s">
        <v>23</v>
      </c>
    </row>
    <row r="155" spans="5:10" x14ac:dyDescent="0.25">
      <c r="E155" t="s">
        <v>148</v>
      </c>
      <c r="I155">
        <v>2</v>
      </c>
      <c r="J155" t="s">
        <v>23</v>
      </c>
    </row>
    <row r="156" spans="5:10" x14ac:dyDescent="0.25">
      <c r="E156" t="s">
        <v>149</v>
      </c>
      <c r="I156">
        <v>1</v>
      </c>
      <c r="J156" t="s">
        <v>23</v>
      </c>
    </row>
    <row r="157" spans="5:10" x14ac:dyDescent="0.25">
      <c r="E157" t="s">
        <v>150</v>
      </c>
      <c r="I157">
        <v>1</v>
      </c>
      <c r="J157" t="s">
        <v>23</v>
      </c>
    </row>
    <row r="158" spans="5:10" x14ac:dyDescent="0.25">
      <c r="E158" t="s">
        <v>151</v>
      </c>
      <c r="I158" t="s">
        <v>152</v>
      </c>
      <c r="J158" t="s">
        <v>133</v>
      </c>
    </row>
    <row r="159" spans="5:10" x14ac:dyDescent="0.25">
      <c r="E159" t="s">
        <v>153</v>
      </c>
      <c r="I159" t="s">
        <v>38</v>
      </c>
      <c r="J159" t="s">
        <v>5</v>
      </c>
    </row>
    <row r="160" spans="5:10" x14ac:dyDescent="0.25">
      <c r="E160" t="s">
        <v>154</v>
      </c>
      <c r="I160" t="s">
        <v>155</v>
      </c>
      <c r="J160" t="s">
        <v>5</v>
      </c>
    </row>
    <row r="161" spans="3:10" x14ac:dyDescent="0.25">
      <c r="E161" t="s">
        <v>156</v>
      </c>
      <c r="J161" t="s">
        <v>5</v>
      </c>
    </row>
    <row r="162" spans="3:10" x14ac:dyDescent="0.25">
      <c r="C162" t="s">
        <v>157</v>
      </c>
      <c r="I162" t="s">
        <v>12</v>
      </c>
      <c r="J162" t="s">
        <v>5</v>
      </c>
    </row>
    <row r="163" spans="3:10" x14ac:dyDescent="0.25">
      <c r="C163" t="s">
        <v>158</v>
      </c>
      <c r="I163" t="s">
        <v>159</v>
      </c>
      <c r="J163" t="s">
        <v>160</v>
      </c>
    </row>
    <row r="164" spans="3:10" x14ac:dyDescent="0.25">
      <c r="C164" t="s">
        <v>161</v>
      </c>
      <c r="I164" t="s">
        <v>35</v>
      </c>
      <c r="J164" t="s">
        <v>5</v>
      </c>
    </row>
    <row r="165" spans="3:10" x14ac:dyDescent="0.25">
      <c r="C165" t="s">
        <v>162</v>
      </c>
      <c r="I165" t="s">
        <v>163</v>
      </c>
      <c r="J165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opLeftCell="B1" workbookViewId="0">
      <selection activeCell="B1" sqref="B1:E1"/>
    </sheetView>
  </sheetViews>
  <sheetFormatPr defaultRowHeight="15" x14ac:dyDescent="0.25"/>
  <cols>
    <col min="1" max="1" width="1.875" hidden="1" customWidth="1"/>
    <col min="2" max="2" width="19.25" bestFit="1" customWidth="1"/>
    <col min="3" max="3" width="19.125" bestFit="1" customWidth="1"/>
    <col min="4" max="4" width="53.125" bestFit="1" customWidth="1"/>
    <col min="5" max="5" width="24.25" bestFit="1" customWidth="1"/>
  </cols>
  <sheetData>
    <row r="1" spans="1:5" ht="15.75" x14ac:dyDescent="0.25">
      <c r="B1" s="3" t="s">
        <v>167</v>
      </c>
      <c r="C1" s="3" t="s">
        <v>168</v>
      </c>
      <c r="D1" s="3" t="s">
        <v>165</v>
      </c>
      <c r="E1" s="3" t="s">
        <v>166</v>
      </c>
    </row>
    <row r="2" spans="1:5" x14ac:dyDescent="0.25">
      <c r="B2" t="s">
        <v>173</v>
      </c>
      <c r="D2" t="s">
        <v>174</v>
      </c>
      <c r="E2" t="s">
        <v>5</v>
      </c>
    </row>
    <row r="3" spans="1:5" x14ac:dyDescent="0.25">
      <c r="A3" t="s">
        <v>0</v>
      </c>
      <c r="C3" t="s">
        <v>175</v>
      </c>
      <c r="D3" t="s">
        <v>176</v>
      </c>
      <c r="E3" t="s">
        <v>177</v>
      </c>
    </row>
    <row r="4" spans="1:5" x14ac:dyDescent="0.25">
      <c r="C4" t="s">
        <v>178</v>
      </c>
      <c r="D4">
        <v>0</v>
      </c>
      <c r="E4" t="s">
        <v>179</v>
      </c>
    </row>
    <row r="5" spans="1:5" x14ac:dyDescent="0.25">
      <c r="C5" t="s">
        <v>180</v>
      </c>
      <c r="D5" t="s">
        <v>181</v>
      </c>
      <c r="E5" t="s">
        <v>133</v>
      </c>
    </row>
    <row r="6" spans="1:5" x14ac:dyDescent="0.25">
      <c r="C6" t="s">
        <v>182</v>
      </c>
      <c r="D6">
        <v>0</v>
      </c>
      <c r="E6" t="s">
        <v>183</v>
      </c>
    </row>
    <row r="7" spans="1:5" x14ac:dyDescent="0.25">
      <c r="C7" t="s">
        <v>184</v>
      </c>
      <c r="D7">
        <v>0</v>
      </c>
      <c r="E7" t="s">
        <v>179</v>
      </c>
    </row>
    <row r="8" spans="1:5" x14ac:dyDescent="0.25">
      <c r="C8" t="s">
        <v>185</v>
      </c>
      <c r="D8" t="s">
        <v>181</v>
      </c>
      <c r="E8" t="s">
        <v>133</v>
      </c>
    </row>
    <row r="9" spans="1:5" x14ac:dyDescent="0.25">
      <c r="C9" t="s">
        <v>186</v>
      </c>
      <c r="D9">
        <v>0</v>
      </c>
      <c r="E9" t="s">
        <v>183</v>
      </c>
    </row>
    <row r="10" spans="1:5" x14ac:dyDescent="0.25">
      <c r="B10" t="s">
        <v>187</v>
      </c>
      <c r="D10" t="b">
        <v>1</v>
      </c>
      <c r="E10" t="s">
        <v>59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B1" workbookViewId="0">
      <pane xSplit="2" ySplit="1" topLeftCell="E11" activePane="bottomRight" state="frozen"/>
      <selection activeCell="B1" sqref="B1"/>
      <selection pane="topRight" activeCell="D1" sqref="D1"/>
      <selection pane="bottomLeft" activeCell="B2" sqref="B2"/>
      <selection pane="bottomRight" activeCell="E12" sqref="E12"/>
    </sheetView>
  </sheetViews>
  <sheetFormatPr defaultRowHeight="15" x14ac:dyDescent="0.25"/>
  <cols>
    <col min="1" max="1" width="1.875" hidden="1" customWidth="1"/>
    <col min="3" max="3" width="36.625" bestFit="1" customWidth="1"/>
    <col min="4" max="4" width="18.75" bestFit="1" customWidth="1"/>
    <col min="5" max="5" width="116.125" style="5" bestFit="1" customWidth="1"/>
    <col min="6" max="6" width="58.375" bestFit="1" customWidth="1"/>
  </cols>
  <sheetData>
    <row r="1" spans="1:6" ht="15.75" x14ac:dyDescent="0.25">
      <c r="B1" s="3" t="s">
        <v>167</v>
      </c>
      <c r="C1" s="3" t="s">
        <v>168</v>
      </c>
      <c r="D1" s="3" t="s">
        <v>169</v>
      </c>
      <c r="E1" s="4" t="s">
        <v>165</v>
      </c>
      <c r="F1" s="3" t="s">
        <v>166</v>
      </c>
    </row>
    <row r="2" spans="1:6" x14ac:dyDescent="0.25">
      <c r="A2" t="s">
        <v>0</v>
      </c>
      <c r="B2" t="s">
        <v>188</v>
      </c>
      <c r="E2" s="5" t="s">
        <v>189</v>
      </c>
      <c r="F2" t="s">
        <v>190</v>
      </c>
    </row>
    <row r="3" spans="1:6" x14ac:dyDescent="0.25">
      <c r="C3" t="s">
        <v>191</v>
      </c>
      <c r="E3" s="5" t="b">
        <v>1</v>
      </c>
      <c r="F3" t="s">
        <v>59</v>
      </c>
    </row>
    <row r="4" spans="1:6" x14ac:dyDescent="0.25">
      <c r="A4" t="s">
        <v>14</v>
      </c>
      <c r="C4" t="s">
        <v>192</v>
      </c>
      <c r="E4" s="5" t="s">
        <v>193</v>
      </c>
      <c r="F4" t="s">
        <v>194</v>
      </c>
    </row>
    <row r="5" spans="1:6" x14ac:dyDescent="0.25">
      <c r="A5" t="s">
        <v>0</v>
      </c>
      <c r="C5" t="s">
        <v>195</v>
      </c>
      <c r="E5" s="5" t="s">
        <v>193</v>
      </c>
      <c r="F5" t="s">
        <v>194</v>
      </c>
    </row>
    <row r="6" spans="1:6" x14ac:dyDescent="0.25">
      <c r="A6" t="s">
        <v>0</v>
      </c>
      <c r="C6" t="s">
        <v>196</v>
      </c>
      <c r="E6" s="5" t="s">
        <v>197</v>
      </c>
      <c r="F6" t="s">
        <v>3</v>
      </c>
    </row>
    <row r="7" spans="1:6" x14ac:dyDescent="0.25">
      <c r="D7" t="s">
        <v>4</v>
      </c>
      <c r="E7" s="5" t="s">
        <v>198</v>
      </c>
      <c r="F7" t="s">
        <v>5</v>
      </c>
    </row>
    <row r="8" spans="1:6" x14ac:dyDescent="0.25">
      <c r="D8" t="s">
        <v>36</v>
      </c>
      <c r="E8" s="5" t="s">
        <v>199</v>
      </c>
      <c r="F8" t="s">
        <v>5</v>
      </c>
    </row>
    <row r="9" spans="1:6" x14ac:dyDescent="0.25">
      <c r="D9" t="s">
        <v>39</v>
      </c>
      <c r="E9" s="5" t="s">
        <v>200</v>
      </c>
      <c r="F9" t="s">
        <v>5</v>
      </c>
    </row>
    <row r="10" spans="1:6" x14ac:dyDescent="0.25">
      <c r="A10" t="s">
        <v>14</v>
      </c>
      <c r="C10" t="s">
        <v>201</v>
      </c>
      <c r="E10" s="5" t="s">
        <v>202</v>
      </c>
      <c r="F10" t="s">
        <v>203</v>
      </c>
    </row>
    <row r="11" spans="1:6" x14ac:dyDescent="0.25">
      <c r="C11" t="s">
        <v>204</v>
      </c>
      <c r="E11" s="5" t="b">
        <v>1</v>
      </c>
      <c r="F11" t="s">
        <v>59</v>
      </c>
    </row>
    <row r="12" spans="1:6" x14ac:dyDescent="0.25">
      <c r="C12" t="s">
        <v>205</v>
      </c>
      <c r="E12" s="5">
        <v>0</v>
      </c>
      <c r="F12" t="s">
        <v>23</v>
      </c>
    </row>
    <row r="13" spans="1:6" x14ac:dyDescent="0.25">
      <c r="A13" t="s">
        <v>14</v>
      </c>
      <c r="C13" t="s">
        <v>206</v>
      </c>
      <c r="E13" s="5" t="s">
        <v>207</v>
      </c>
      <c r="F13" t="s">
        <v>208</v>
      </c>
    </row>
    <row r="14" spans="1:6" x14ac:dyDescent="0.25">
      <c r="A14" t="s">
        <v>14</v>
      </c>
      <c r="C14" t="s">
        <v>209</v>
      </c>
      <c r="E14" s="5" t="s">
        <v>210</v>
      </c>
      <c r="F14" t="s">
        <v>211</v>
      </c>
    </row>
    <row r="15" spans="1:6" x14ac:dyDescent="0.25">
      <c r="C15" t="s">
        <v>212</v>
      </c>
      <c r="E15" s="5">
        <v>3</v>
      </c>
      <c r="F15" t="s">
        <v>213</v>
      </c>
    </row>
    <row r="16" spans="1:6" x14ac:dyDescent="0.25">
      <c r="A16" t="s">
        <v>14</v>
      </c>
      <c r="C16" t="s">
        <v>214</v>
      </c>
      <c r="E16" s="5" t="s">
        <v>197</v>
      </c>
      <c r="F16" t="s">
        <v>3</v>
      </c>
    </row>
    <row r="17" spans="1:6" x14ac:dyDescent="0.25">
      <c r="D17" t="s">
        <v>4</v>
      </c>
      <c r="E17" s="5" t="s">
        <v>198</v>
      </c>
    </row>
    <row r="18" spans="1:6" x14ac:dyDescent="0.25">
      <c r="D18" t="s">
        <v>36</v>
      </c>
      <c r="E18" s="5" t="s">
        <v>199</v>
      </c>
    </row>
    <row r="19" spans="1:6" x14ac:dyDescent="0.25">
      <c r="D19" t="s">
        <v>39</v>
      </c>
      <c r="E19" s="5" t="s">
        <v>200</v>
      </c>
    </row>
    <row r="20" spans="1:6" x14ac:dyDescent="0.25">
      <c r="A20" t="s">
        <v>14</v>
      </c>
      <c r="C20" t="s">
        <v>215</v>
      </c>
      <c r="E20" s="5" t="s">
        <v>210</v>
      </c>
      <c r="F20" t="s">
        <v>211</v>
      </c>
    </row>
    <row r="21" spans="1:6" x14ac:dyDescent="0.25">
      <c r="C21" t="s">
        <v>216</v>
      </c>
      <c r="E21" s="5">
        <v>0</v>
      </c>
      <c r="F21" t="s">
        <v>23</v>
      </c>
    </row>
    <row r="22" spans="1:6" x14ac:dyDescent="0.25">
      <c r="A22" t="s">
        <v>14</v>
      </c>
      <c r="C22" t="s">
        <v>217</v>
      </c>
      <c r="E22" s="5" t="s">
        <v>207</v>
      </c>
      <c r="F22" t="s">
        <v>208</v>
      </c>
    </row>
    <row r="23" spans="1:6" x14ac:dyDescent="0.25">
      <c r="C23" t="s">
        <v>218</v>
      </c>
      <c r="E23" s="5" t="s">
        <v>219</v>
      </c>
      <c r="F23" t="s">
        <v>5</v>
      </c>
    </row>
    <row r="24" spans="1:6" x14ac:dyDescent="0.25">
      <c r="C24" t="s">
        <v>220</v>
      </c>
      <c r="E24" s="5" t="s">
        <v>221</v>
      </c>
      <c r="F24" t="s">
        <v>5</v>
      </c>
    </row>
    <row r="25" spans="1:6" x14ac:dyDescent="0.25">
      <c r="C25" t="s">
        <v>222</v>
      </c>
      <c r="E25" s="5" t="s">
        <v>223</v>
      </c>
      <c r="F25" t="s">
        <v>5</v>
      </c>
    </row>
    <row r="26" spans="1:6" x14ac:dyDescent="0.25">
      <c r="A26" t="s">
        <v>14</v>
      </c>
      <c r="C26" t="s">
        <v>224</v>
      </c>
      <c r="E26" s="5" t="s">
        <v>225</v>
      </c>
      <c r="F26" t="s">
        <v>226</v>
      </c>
    </row>
    <row r="27" spans="1:6" x14ac:dyDescent="0.25">
      <c r="A27" t="s">
        <v>14</v>
      </c>
      <c r="C27" t="s">
        <v>227</v>
      </c>
      <c r="E27" s="5" t="s">
        <v>228</v>
      </c>
      <c r="F27" t="s">
        <v>226</v>
      </c>
    </row>
    <row r="28" spans="1:6" x14ac:dyDescent="0.25">
      <c r="C28" t="s">
        <v>229</v>
      </c>
      <c r="E28" s="5">
        <v>3</v>
      </c>
      <c r="F28" t="s">
        <v>213</v>
      </c>
    </row>
    <row r="29" spans="1:6" x14ac:dyDescent="0.25">
      <c r="A29" t="s">
        <v>14</v>
      </c>
      <c r="C29" t="s">
        <v>230</v>
      </c>
      <c r="E29" s="5" t="s">
        <v>202</v>
      </c>
      <c r="F29" t="s">
        <v>203</v>
      </c>
    </row>
    <row r="30" spans="1:6" x14ac:dyDescent="0.25">
      <c r="C30" t="s">
        <v>231</v>
      </c>
      <c r="E30" s="5" t="s">
        <v>221</v>
      </c>
      <c r="F30" t="s">
        <v>5</v>
      </c>
    </row>
    <row r="31" spans="1:6" x14ac:dyDescent="0.25">
      <c r="C31" t="s">
        <v>232</v>
      </c>
      <c r="E31" s="5" t="b">
        <v>1</v>
      </c>
      <c r="F31" t="s">
        <v>59</v>
      </c>
    </row>
    <row r="32" spans="1:6" x14ac:dyDescent="0.25">
      <c r="A32" t="s">
        <v>14</v>
      </c>
      <c r="C32" t="s">
        <v>77</v>
      </c>
    </row>
    <row r="33" spans="1:6" x14ac:dyDescent="0.25">
      <c r="A33" t="s">
        <v>0</v>
      </c>
      <c r="C33" t="s">
        <v>77</v>
      </c>
    </row>
    <row r="34" spans="1:6" x14ac:dyDescent="0.25">
      <c r="A34" t="s">
        <v>14</v>
      </c>
      <c r="C34" t="s">
        <v>233</v>
      </c>
      <c r="E34" s="5" t="s">
        <v>234</v>
      </c>
      <c r="F34" t="s">
        <v>235</v>
      </c>
    </row>
    <row r="35" spans="1:6" x14ac:dyDescent="0.25">
      <c r="A35" t="s">
        <v>14</v>
      </c>
      <c r="C35" t="s">
        <v>236</v>
      </c>
      <c r="E35" s="5" t="s">
        <v>189</v>
      </c>
      <c r="F35" t="s">
        <v>190</v>
      </c>
    </row>
    <row r="36" spans="1:6" x14ac:dyDescent="0.25">
      <c r="C36" t="s">
        <v>237</v>
      </c>
      <c r="E36" s="5" t="s">
        <v>238</v>
      </c>
      <c r="F36" t="s">
        <v>5</v>
      </c>
    </row>
    <row r="37" spans="1:6" x14ac:dyDescent="0.25">
      <c r="C37" t="s">
        <v>239</v>
      </c>
      <c r="E37" s="5" t="s">
        <v>240</v>
      </c>
      <c r="F37" t="s">
        <v>241</v>
      </c>
    </row>
    <row r="38" spans="1:6" x14ac:dyDescent="0.25">
      <c r="C38" t="s">
        <v>242</v>
      </c>
      <c r="E38" s="5">
        <v>0</v>
      </c>
      <c r="F38" t="s">
        <v>213</v>
      </c>
    </row>
    <row r="39" spans="1:6" x14ac:dyDescent="0.25">
      <c r="C39" t="s">
        <v>243</v>
      </c>
      <c r="E39" s="5" t="s">
        <v>244</v>
      </c>
      <c r="F39" t="s">
        <v>245</v>
      </c>
    </row>
    <row r="40" spans="1:6" x14ac:dyDescent="0.25">
      <c r="C40" t="s">
        <v>246</v>
      </c>
      <c r="E40" s="5" t="s">
        <v>240</v>
      </c>
      <c r="F40" t="s">
        <v>241</v>
      </c>
    </row>
    <row r="41" spans="1:6" x14ac:dyDescent="0.25">
      <c r="C41" t="s">
        <v>247</v>
      </c>
      <c r="F41" t="s">
        <v>5</v>
      </c>
    </row>
    <row r="42" spans="1:6" x14ac:dyDescent="0.25">
      <c r="B42" t="s">
        <v>248</v>
      </c>
      <c r="E42" s="5">
        <v>2</v>
      </c>
      <c r="F42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defaultRowHeight="15" x14ac:dyDescent="0.25"/>
  <cols>
    <col min="1" max="1" width="5.875" style="8" customWidth="1"/>
    <col min="2" max="2" width="11.875" style="8" bestFit="1" customWidth="1"/>
    <col min="3" max="3" width="9.875" style="8" customWidth="1"/>
    <col min="4" max="4" width="5.875" style="8" customWidth="1"/>
    <col min="5" max="5" width="6.875" style="8" customWidth="1"/>
    <col min="6" max="6" width="20.125" style="8" bestFit="1" customWidth="1"/>
    <col min="7" max="7" width="1.875" style="8" customWidth="1"/>
    <col min="8" max="8" width="4.875" style="8" customWidth="1"/>
    <col min="9" max="9" width="81" style="9" customWidth="1"/>
    <col min="10" max="16384" width="9" style="8"/>
  </cols>
  <sheetData>
    <row r="1" spans="1:9" x14ac:dyDescent="0.25">
      <c r="A1" s="14" t="s">
        <v>275</v>
      </c>
      <c r="B1" s="14" t="s">
        <v>274</v>
      </c>
      <c r="C1" s="14" t="s">
        <v>273</v>
      </c>
      <c r="D1" s="14" t="s">
        <v>166</v>
      </c>
      <c r="E1" s="14" t="s">
        <v>272</v>
      </c>
      <c r="F1" s="14" t="s">
        <v>271</v>
      </c>
      <c r="G1" s="14" t="s">
        <v>270</v>
      </c>
      <c r="H1" s="14" t="s">
        <v>269</v>
      </c>
      <c r="I1" s="13" t="s">
        <v>268</v>
      </c>
    </row>
    <row r="2" spans="1:9" ht="270" x14ac:dyDescent="0.25">
      <c r="A2" s="11">
        <v>62872</v>
      </c>
      <c r="B2" s="11" t="s">
        <v>276</v>
      </c>
      <c r="C2" s="11" t="s">
        <v>279</v>
      </c>
      <c r="D2" s="11" t="s">
        <v>280</v>
      </c>
      <c r="E2" s="11" t="s">
        <v>277</v>
      </c>
      <c r="F2" s="12">
        <v>42322.852129629631</v>
      </c>
      <c r="G2" s="11">
        <v>0</v>
      </c>
      <c r="H2" s="11" t="s">
        <v>278</v>
      </c>
      <c r="I2" s="10" t="s">
        <v>297</v>
      </c>
    </row>
    <row r="3" spans="1:9" ht="135" x14ac:dyDescent="0.25">
      <c r="A3" s="11">
        <v>62871</v>
      </c>
      <c r="B3" s="11" t="s">
        <v>276</v>
      </c>
      <c r="C3" s="11" t="s">
        <v>279</v>
      </c>
      <c r="D3" s="11" t="s">
        <v>280</v>
      </c>
      <c r="E3" s="11" t="s">
        <v>277</v>
      </c>
      <c r="F3" s="12">
        <v>42322.852129629631</v>
      </c>
      <c r="G3" s="11">
        <v>0</v>
      </c>
      <c r="H3" s="11" t="s">
        <v>278</v>
      </c>
      <c r="I3" s="10" t="s">
        <v>298</v>
      </c>
    </row>
  </sheetData>
  <conditionalFormatting sqref="A2:I3">
    <cfRule type="expression" dxfId="3" priority="3">
      <formula>$D2="ERROR"</formula>
    </cfRule>
    <cfRule type="expression" dxfId="2" priority="4">
      <formula>$D2="WARNING"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A2" sqref="A2"/>
    </sheetView>
  </sheetViews>
  <sheetFormatPr defaultRowHeight="15" x14ac:dyDescent="0.25"/>
  <cols>
    <col min="2" max="2" width="9.875" bestFit="1" customWidth="1"/>
    <col min="3" max="3" width="65.5" bestFit="1" customWidth="1"/>
    <col min="4" max="4" width="64.5" bestFit="1" customWidth="1"/>
  </cols>
  <sheetData>
    <row r="1" spans="1:5" ht="18" x14ac:dyDescent="0.25">
      <c r="A1" s="15" t="s">
        <v>267</v>
      </c>
      <c r="B1" s="16"/>
      <c r="C1" s="15" t="s">
        <v>258</v>
      </c>
      <c r="D1" s="17"/>
      <c r="E1" s="16"/>
    </row>
    <row r="2" spans="1:5" ht="18" x14ac:dyDescent="0.25">
      <c r="A2" s="7" t="s">
        <v>256</v>
      </c>
      <c r="B2" s="7" t="s">
        <v>257</v>
      </c>
      <c r="C2" s="7" t="s">
        <v>259</v>
      </c>
      <c r="D2" s="7" t="s">
        <v>260</v>
      </c>
      <c r="E2" s="7" t="s">
        <v>266</v>
      </c>
    </row>
    <row r="3" spans="1:5" x14ac:dyDescent="0.25">
      <c r="A3" s="6">
        <f>IF(ISNUMBER(A2),A2+1,0)</f>
        <v>0</v>
      </c>
      <c r="B3" s="6">
        <f>A3+1</f>
        <v>1</v>
      </c>
      <c r="C3" s="6" t="s">
        <v>249</v>
      </c>
      <c r="D3" s="6" t="s">
        <v>261</v>
      </c>
      <c r="E3" s="6"/>
    </row>
    <row r="4" spans="1:5" x14ac:dyDescent="0.25">
      <c r="A4" s="6">
        <f t="shared" ref="A4:A11" si="0">IF(ISNUMBER(A3),A3+1,0)</f>
        <v>1</v>
      </c>
      <c r="B4" s="6">
        <f t="shared" ref="B4:B11" si="1">A4+1</f>
        <v>2</v>
      </c>
      <c r="C4" s="6" t="s">
        <v>250</v>
      </c>
      <c r="D4" s="6" t="s">
        <v>262</v>
      </c>
      <c r="E4" s="6"/>
    </row>
    <row r="5" spans="1:5" x14ac:dyDescent="0.25">
      <c r="A5" s="6">
        <f t="shared" si="0"/>
        <v>2</v>
      </c>
      <c r="B5" s="6">
        <f t="shared" si="1"/>
        <v>3</v>
      </c>
      <c r="C5" s="6"/>
      <c r="D5" s="6"/>
      <c r="E5" s="6"/>
    </row>
    <row r="6" spans="1:5" x14ac:dyDescent="0.25">
      <c r="A6" s="6">
        <f t="shared" si="0"/>
        <v>3</v>
      </c>
      <c r="B6" s="6">
        <f t="shared" si="1"/>
        <v>4</v>
      </c>
      <c r="C6" s="6" t="s">
        <v>251</v>
      </c>
      <c r="D6" s="6"/>
      <c r="E6" s="6"/>
    </row>
    <row r="7" spans="1:5" x14ac:dyDescent="0.25">
      <c r="A7" s="6">
        <f t="shared" si="0"/>
        <v>4</v>
      </c>
      <c r="B7" s="6">
        <f t="shared" si="1"/>
        <v>5</v>
      </c>
      <c r="C7" s="6" t="s">
        <v>252</v>
      </c>
      <c r="D7" s="6" t="s">
        <v>263</v>
      </c>
      <c r="E7" s="6"/>
    </row>
    <row r="8" spans="1:5" x14ac:dyDescent="0.25">
      <c r="A8" s="6">
        <f t="shared" si="0"/>
        <v>5</v>
      </c>
      <c r="B8" s="6">
        <f t="shared" si="1"/>
        <v>6</v>
      </c>
      <c r="C8" s="6" t="s">
        <v>253</v>
      </c>
      <c r="D8" s="6" t="s">
        <v>264</v>
      </c>
      <c r="E8" s="6"/>
    </row>
    <row r="9" spans="1:5" x14ac:dyDescent="0.25">
      <c r="A9" s="6">
        <f t="shared" si="0"/>
        <v>6</v>
      </c>
      <c r="B9" s="6">
        <f t="shared" si="1"/>
        <v>7</v>
      </c>
      <c r="C9" s="6" t="s">
        <v>254</v>
      </c>
      <c r="D9" s="6" t="s">
        <v>265</v>
      </c>
      <c r="E9" s="6"/>
    </row>
    <row r="10" spans="1:5" x14ac:dyDescent="0.25">
      <c r="A10" s="6">
        <f t="shared" si="0"/>
        <v>7</v>
      </c>
      <c r="B10" s="6">
        <f t="shared" si="1"/>
        <v>8</v>
      </c>
      <c r="C10" s="6"/>
      <c r="D10" s="6"/>
      <c r="E10" s="6"/>
    </row>
    <row r="11" spans="1:5" x14ac:dyDescent="0.25">
      <c r="A11" s="6">
        <f t="shared" si="0"/>
        <v>8</v>
      </c>
      <c r="B11" s="6">
        <f t="shared" si="1"/>
        <v>9</v>
      </c>
      <c r="C11" s="6" t="s">
        <v>255</v>
      </c>
      <c r="D11" s="6" t="s">
        <v>255</v>
      </c>
      <c r="E11" s="6"/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1" width="5.875" style="8" customWidth="1"/>
    <col min="2" max="2" width="11.875" style="8" bestFit="1" customWidth="1"/>
    <col min="3" max="3" width="9.875" style="8" customWidth="1"/>
    <col min="4" max="4" width="5.875" style="8" customWidth="1"/>
    <col min="5" max="5" width="6.875" style="8" customWidth="1"/>
    <col min="6" max="6" width="20.125" style="8" bestFit="1" customWidth="1"/>
    <col min="7" max="7" width="1.875" style="8" customWidth="1"/>
    <col min="8" max="8" width="4.875" style="8" customWidth="1"/>
    <col min="9" max="9" width="81" style="9" customWidth="1"/>
    <col min="10" max="16384" width="9" style="8"/>
  </cols>
  <sheetData>
    <row r="1" spans="1:9" x14ac:dyDescent="0.25">
      <c r="A1" s="14" t="s">
        <v>275</v>
      </c>
      <c r="B1" s="14" t="s">
        <v>274</v>
      </c>
      <c r="C1" s="14" t="s">
        <v>273</v>
      </c>
      <c r="D1" s="14" t="s">
        <v>166</v>
      </c>
      <c r="E1" s="14" t="s">
        <v>272</v>
      </c>
      <c r="F1" s="14" t="s">
        <v>271</v>
      </c>
      <c r="G1" s="14" t="s">
        <v>270</v>
      </c>
      <c r="H1" s="14" t="s">
        <v>269</v>
      </c>
      <c r="I1" s="13" t="s">
        <v>268</v>
      </c>
    </row>
    <row r="2" spans="1:9" ht="270" x14ac:dyDescent="0.25">
      <c r="A2" s="11">
        <v>62872</v>
      </c>
      <c r="B2" s="11" t="s">
        <v>276</v>
      </c>
      <c r="C2" s="11" t="s">
        <v>279</v>
      </c>
      <c r="D2" s="11" t="s">
        <v>280</v>
      </c>
      <c r="E2" s="11" t="s">
        <v>277</v>
      </c>
      <c r="F2" s="12">
        <v>42322.852129629631</v>
      </c>
      <c r="G2" s="11">
        <v>0</v>
      </c>
      <c r="H2" s="11" t="s">
        <v>278</v>
      </c>
      <c r="I2" s="10" t="s">
        <v>297</v>
      </c>
    </row>
    <row r="3" spans="1:9" ht="135" x14ac:dyDescent="0.25">
      <c r="A3" s="11">
        <v>62871</v>
      </c>
      <c r="B3" s="11" t="s">
        <v>276</v>
      </c>
      <c r="C3" s="11" t="s">
        <v>279</v>
      </c>
      <c r="D3" s="11" t="s">
        <v>280</v>
      </c>
      <c r="E3" s="11" t="s">
        <v>277</v>
      </c>
      <c r="F3" s="12">
        <v>42322.852129629631</v>
      </c>
      <c r="G3" s="11">
        <v>0</v>
      </c>
      <c r="H3" s="11" t="s">
        <v>278</v>
      </c>
      <c r="I3" s="10" t="s">
        <v>298</v>
      </c>
    </row>
  </sheetData>
  <conditionalFormatting sqref="A2:I3">
    <cfRule type="expression" dxfId="1" priority="1">
      <formula>$D2="ERROR"</formula>
    </cfRule>
    <cfRule type="expression" dxfId="0" priority="2">
      <formula>$D2="WARNING"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Index</vt:lpstr>
      <vt:lpstr>Index of Named Ranges</vt:lpstr>
      <vt:lpstr>Locals_in_Main</vt:lpstr>
      <vt:lpstr>Entering_WaitForCarbonUnit</vt:lpstr>
      <vt:lpstr>Entering_ErrorExit</vt:lpstr>
      <vt:lpstr>Windows Event Log IMPORT</vt:lpstr>
      <vt:lpstr>FixedConsoleWriter SideBySide</vt:lpstr>
      <vt:lpstr>WizardWrx AppEvents 20151114</vt:lpstr>
      <vt:lpstr>__Workbook_Index</vt:lpstr>
      <vt:lpstr>'Windows Event Log IMPORT'!Application_ZAPHOD42_20140305_004026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Variable Dumps</dc:title>
  <dc:subject>Development Notes: WizardWrx.ConsoleAppAids, Version 5.5</dc:subject>
  <dc:creator>David A. Gray</dc:creator>
  <cp:lastModifiedBy>David A. Gray</cp:lastModifiedBy>
  <dcterms:created xsi:type="dcterms:W3CDTF">2015-06-06T04:51:21Z</dcterms:created>
  <dcterms:modified xsi:type="dcterms:W3CDTF">2015-11-15T16:12:00Z</dcterms:modified>
</cp:coreProperties>
</file>