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3505" windowHeight="9525"/>
  </bookViews>
  <sheets>
    <sheet name="Hard Coded Strings to Resources" sheetId="1" r:id="rId1"/>
    <sheet name="FixedConsoleWriter Prompts" sheetId="2" r:id="rId2"/>
  </sheets>
  <calcPr calcId="145621"/>
</workbook>
</file>

<file path=xl/calcChain.xml><?xml version="1.0" encoding="utf-8"?>
<calcChain xmlns="http://schemas.openxmlformats.org/spreadsheetml/2006/main">
  <c r="L5" i="1" l="1"/>
  <c r="J5" i="1"/>
  <c r="B4" i="2"/>
  <c r="B3" i="2"/>
  <c r="B2" i="2"/>
  <c r="F4" i="2"/>
  <c r="F3" i="2"/>
  <c r="F2" i="2"/>
  <c r="G4" i="2"/>
  <c r="G3" i="2"/>
  <c r="G2" i="2"/>
  <c r="E2" i="2"/>
  <c r="E4" i="2"/>
  <c r="E3" i="2"/>
  <c r="D4" i="2"/>
  <c r="D3" i="2"/>
  <c r="D2" i="2"/>
  <c r="L4" i="1" l="1"/>
  <c r="L3" i="1"/>
  <c r="L2" i="1"/>
  <c r="C4" i="1"/>
  <c r="C3" i="1"/>
  <c r="C2" i="1"/>
  <c r="E1" i="1"/>
  <c r="E3" i="1" s="1"/>
  <c r="D1" i="1"/>
  <c r="D4" i="1" s="1"/>
  <c r="F3" i="1" l="1"/>
  <c r="I3" i="1" s="1"/>
  <c r="J3" i="1" s="1"/>
  <c r="F4" i="1"/>
  <c r="I4" i="1" s="1"/>
  <c r="J4" i="1" s="1"/>
  <c r="G4" i="1"/>
  <c r="D3" i="1"/>
  <c r="G3" i="1" s="1"/>
  <c r="E2" i="1"/>
  <c r="E4" i="1"/>
  <c r="D2" i="1"/>
  <c r="F2" i="1" l="1"/>
  <c r="I2" i="1" s="1"/>
  <c r="J2" i="1" s="1"/>
  <c r="G2" i="1"/>
</calcChain>
</file>

<file path=xl/sharedStrings.xml><?xml version="1.0" encoding="utf-8"?>
<sst xmlns="http://schemas.openxmlformats.org/spreadsheetml/2006/main" count="40" uniqueCount="34">
  <si>
    <t xml:space="preserve">            const string COUNTDOWN_MSG_TPL = @"{0} in {1} seconds";</t>
  </si>
  <si>
    <t xml:space="preserve">            const string COUNTDOWN_WAITING_FOR = @"Program ending";</t>
  </si>
  <si>
    <t xml:space="preserve">            const string DONE_MSG_TPL = @"{0} NOW";</t>
  </si>
  <si>
    <t>Strinc Constant</t>
  </si>
  <si>
    <t>Class</t>
  </si>
  <si>
    <t>DisplayAids</t>
  </si>
  <si>
    <t>const string</t>
  </si>
  <si>
    <t>Constant Name</t>
  </si>
  <si>
    <t>Constant Value</t>
  </si>
  <si>
    <t>Managed String Name</t>
  </si>
  <si>
    <t>TimedWait</t>
  </si>
  <si>
    <t>Method</t>
  </si>
  <si>
    <t>Fully Qualified Managed String Name</t>
  </si>
  <si>
    <t>default program ending message</t>
  </si>
  <si>
    <t>progress message</t>
  </si>
  <si>
    <t>default countdown zero message</t>
  </si>
  <si>
    <t>Comment Text</t>
  </si>
  <si>
    <t>Description Text</t>
  </si>
  <si>
    <t>None</t>
  </si>
  <si>
    <t>InterruptCriterion</t>
  </si>
  <si>
    <t>The countdown cannot be stopped.</t>
  </si>
  <si>
    <t>XML Documentation Comment</t>
  </si>
  <si>
    <t>Pressing any key stops the countdown.</t>
  </si>
  <si>
    <t>AnyKey</t>
  </si>
  <si>
    <t>Pressing the ENTER key stops the countdown.</t>
  </si>
  <si>
    <t>CarriageReturn</t>
  </si>
  <si>
    <t>String Name</t>
  </si>
  <si>
    <t>String Value</t>
  </si>
  <si>
    <t>Fully Qualified String Name</t>
  </si>
  <si>
    <t>String Length</t>
  </si>
  <si>
    <t>Integer</t>
  </si>
  <si>
    <t>TIMEDWAIT_DONE_EARLY_MSG_TPL</t>
  </si>
  <si>
    <t>{0} NOW, after pausing for {1} of {2} programmed secods</t>
  </si>
  <si>
    <t>early countdown exit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</si>
</sst>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onsolas"/>
      <family val="2"/>
    </font>
    <font>
      <b/>
      <sz val="14"/>
      <color theme="9" tint="-0.499984740745262"/>
      <name val="Tahoma"/>
      <family val="2"/>
    </font>
    <font>
      <b/>
      <sz val="14"/>
      <color theme="5" tint="-0.499984740745262"/>
      <name val="Tahoma"/>
      <family val="2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2" xfId="0" applyFont="1" applyFill="1" applyBorder="1"/>
    <xf numFmtId="0" fontId="0" fillId="0" borderId="2" xfId="0" applyBorder="1"/>
    <xf numFmtId="0" fontId="3" fillId="0" borderId="2" xfId="0" applyFont="1" applyBorder="1"/>
  </cellXfs>
  <cellStyles count="1">
    <cellStyle name="Normal" xfId="0" builtinId="0"/>
  </cellStyles>
  <dxfs count="9"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L5"/>
  <sheetViews>
    <sheetView tabSelected="1" topLeftCell="D1" workbookViewId="0">
      <selection activeCell="J5" sqref="J5"/>
    </sheetView>
  </sheetViews>
  <sheetFormatPr defaultRowHeight="15" x14ac:dyDescent="0.25"/>
  <cols>
    <col min="1" max="1" width="11.875" bestFit="1" customWidth="1"/>
    <col min="2" max="2" width="69.625" bestFit="1" customWidth="1"/>
    <col min="3" max="3" width="15.5" bestFit="1" customWidth="1"/>
    <col min="4" max="4" width="7.125" bestFit="1" customWidth="1"/>
    <col min="5" max="5" width="3.125" bestFit="1" customWidth="1"/>
    <col min="6" max="6" width="22.25" bestFit="1" customWidth="1"/>
    <col min="7" max="7" width="57.25" bestFit="1" customWidth="1"/>
    <col min="8" max="8" width="10.125" bestFit="1" customWidth="1"/>
    <col min="9" max="9" width="32.5" bestFit="1" customWidth="1"/>
    <col min="10" max="10" width="54.25" bestFit="1" customWidth="1"/>
    <col min="11" max="11" width="31.5" bestFit="1" customWidth="1"/>
    <col min="12" max="12" width="42.875" bestFit="1" customWidth="1"/>
  </cols>
  <sheetData>
    <row r="1" spans="1:12" ht="18" x14ac:dyDescent="0.25">
      <c r="A1" s="1" t="s">
        <v>4</v>
      </c>
      <c r="B1" s="1" t="s">
        <v>3</v>
      </c>
      <c r="C1" s="1" t="s">
        <v>6</v>
      </c>
      <c r="D1" s="1" t="str">
        <f>CONCATENATE("= @",CHAR(34))</f>
        <v>= @"</v>
      </c>
      <c r="E1" s="1" t="str">
        <f>CONCATENATE(CHAR(34),";")</f>
        <v>";</v>
      </c>
      <c r="F1" s="1" t="s">
        <v>7</v>
      </c>
      <c r="G1" s="1" t="s">
        <v>8</v>
      </c>
      <c r="H1" s="1" t="s">
        <v>11</v>
      </c>
      <c r="I1" s="1" t="s">
        <v>9</v>
      </c>
      <c r="J1" s="1" t="s">
        <v>12</v>
      </c>
      <c r="K1" s="1" t="s">
        <v>17</v>
      </c>
      <c r="L1" s="1" t="s">
        <v>16</v>
      </c>
    </row>
    <row r="2" spans="1:12" x14ac:dyDescent="0.25">
      <c r="A2" s="2" t="s">
        <v>5</v>
      </c>
      <c r="B2" s="2" t="s">
        <v>0</v>
      </c>
      <c r="C2" s="2">
        <f>FIND(C$1,$B2)</f>
        <v>13</v>
      </c>
      <c r="D2" s="2">
        <f>FIND(D$1,$B2)</f>
        <v>44</v>
      </c>
      <c r="E2" s="2">
        <f>FIND(E$1,$B2)</f>
        <v>66</v>
      </c>
      <c r="F2" s="2" t="str">
        <f>TRIM(MID($B2,C2+LEN(C$1),D2-(C2+LEN(C$1))))</f>
        <v>COUNTDOWN_MSG_TPL</v>
      </c>
      <c r="G2" s="2" t="str">
        <f>TRIM(MID($B2,D2+LEN(D$1),E2-(D2+LEN(D$1))))</f>
        <v>{0} in {1} seconds</v>
      </c>
      <c r="H2" s="2" t="s">
        <v>10</v>
      </c>
      <c r="I2" s="2" t="str">
        <f>CONCATENATE(UPPER(H2),"_",F2)</f>
        <v>TIMEDWAIT_COUNTDOWN_MSG_TPL</v>
      </c>
      <c r="J2" s="2" t="str">
        <f>CONCATENATE("Properties.Resources.",I2)</f>
        <v>Properties.Resources.TIMEDWAIT_COUNTDOWN_MSG_TPL</v>
      </c>
      <c r="K2" s="2" t="s">
        <v>14</v>
      </c>
      <c r="L2" s="2" t="str">
        <f>CONCATENATE(H2,": ",K2)</f>
        <v>TimedWait: progress message</v>
      </c>
    </row>
    <row r="3" spans="1:12" x14ac:dyDescent="0.25">
      <c r="A3" s="2" t="s">
        <v>5</v>
      </c>
      <c r="B3" s="2" t="s">
        <v>1</v>
      </c>
      <c r="C3" s="2">
        <f t="shared" ref="C3:E4" si="0">FIND(C$1,$B3)</f>
        <v>13</v>
      </c>
      <c r="D3" s="2">
        <f t="shared" si="0"/>
        <v>48</v>
      </c>
      <c r="E3" s="2">
        <f t="shared" si="0"/>
        <v>66</v>
      </c>
      <c r="F3" s="2" t="str">
        <f t="shared" ref="F3:G4" si="1">TRIM(MID($B3,C3+LEN(C$1),D3-(C3+LEN(C$1))))</f>
        <v>COUNTDOWN_WAITING_FOR</v>
      </c>
      <c r="G3" s="2" t="str">
        <f t="shared" si="1"/>
        <v>Program ending</v>
      </c>
      <c r="H3" s="2" t="s">
        <v>10</v>
      </c>
      <c r="I3" s="2" t="str">
        <f t="shared" ref="I3:I4" si="2">CONCATENATE(UPPER(H3),"_",F3)</f>
        <v>TIMEDWAIT_COUNTDOWN_WAITING_FOR</v>
      </c>
      <c r="J3" s="2" t="str">
        <f t="shared" ref="J3:J5" si="3">CONCATENATE("Properties.Resources.",I3)</f>
        <v>Properties.Resources.TIMEDWAIT_COUNTDOWN_WAITING_FOR</v>
      </c>
      <c r="K3" s="2" t="s">
        <v>13</v>
      </c>
      <c r="L3" s="2" t="str">
        <f>CONCATENATE(H3,": ",K3)</f>
        <v>TimedWait: default program ending message</v>
      </c>
    </row>
    <row r="4" spans="1:12" x14ac:dyDescent="0.25">
      <c r="A4" s="2" t="s">
        <v>5</v>
      </c>
      <c r="B4" s="2" t="s">
        <v>2</v>
      </c>
      <c r="C4" s="2">
        <f t="shared" si="0"/>
        <v>13</v>
      </c>
      <c r="D4" s="2">
        <f t="shared" si="0"/>
        <v>39</v>
      </c>
      <c r="E4" s="2">
        <f t="shared" si="0"/>
        <v>50</v>
      </c>
      <c r="F4" s="2" t="str">
        <f t="shared" si="1"/>
        <v>DONE_MSG_TPL</v>
      </c>
      <c r="G4" s="2" t="str">
        <f t="shared" si="1"/>
        <v>{0} NOW</v>
      </c>
      <c r="H4" s="2" t="s">
        <v>10</v>
      </c>
      <c r="I4" s="2" t="str">
        <f t="shared" si="2"/>
        <v>TIMEDWAIT_DONE_MSG_TPL</v>
      </c>
      <c r="J4" s="2" t="str">
        <f t="shared" si="3"/>
        <v>Properties.Resources.TIMEDWAIT_DONE_MSG_TPL</v>
      </c>
      <c r="K4" s="2" t="s">
        <v>15</v>
      </c>
      <c r="L4" s="2" t="str">
        <f>CONCATENATE(H4,": ",K4)</f>
        <v>TimedWait: default countdown zero message</v>
      </c>
    </row>
    <row r="5" spans="1:12" x14ac:dyDescent="0.25">
      <c r="A5" s="2" t="s">
        <v>5</v>
      </c>
      <c r="B5" s="2"/>
      <c r="C5" s="2"/>
      <c r="D5" s="2"/>
      <c r="E5" s="2"/>
      <c r="F5" s="2"/>
      <c r="G5" s="2" t="s">
        <v>32</v>
      </c>
      <c r="H5" s="2" t="s">
        <v>10</v>
      </c>
      <c r="I5" s="2" t="s">
        <v>31</v>
      </c>
      <c r="J5" s="2" t="str">
        <f t="shared" si="3"/>
        <v>Properties.Resources.TIMEDWAIT_DONE_EARLY_MSG_TPL</v>
      </c>
      <c r="K5" s="2" t="s">
        <v>33</v>
      </c>
      <c r="L5" s="2" t="str">
        <f>CONCATENATE(H5,": ",K5)</f>
        <v>TimedWait: early countdown exit message</v>
      </c>
    </row>
  </sheetData>
  <conditionalFormatting sqref="A2">
    <cfRule type="expression" dxfId="8" priority="4">
      <formula>OR(ISBLANK(A2),LEN(A2)=0)</formula>
    </cfRule>
  </conditionalFormatting>
  <conditionalFormatting sqref="A3:A5">
    <cfRule type="expression" dxfId="6" priority="3">
      <formula>OR(ISBLANK(A3),LEN(A3)=0)</formula>
    </cfRule>
  </conditionalFormatting>
  <conditionalFormatting sqref="B2:L2">
    <cfRule type="expression" dxfId="4" priority="2">
      <formula>OR(ISBLANK(B2),LEN(B2)=0)</formula>
    </cfRule>
  </conditionalFormatting>
  <conditionalFormatting sqref="B3:L5">
    <cfRule type="expression" dxfId="2" priority="1">
      <formula>OR(ISBLANK(B3),LEN(B3)=0)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M4"/>
  <sheetViews>
    <sheetView workbookViewId="0">
      <selection activeCell="A4" sqref="A4"/>
    </sheetView>
  </sheetViews>
  <sheetFormatPr defaultRowHeight="15" x14ac:dyDescent="0.25"/>
  <cols>
    <col min="1" max="1" width="23" bestFit="1" customWidth="1"/>
    <col min="2" max="2" width="10" bestFit="1" customWidth="1"/>
    <col min="3" max="3" width="39.625" bestFit="1" customWidth="1"/>
    <col min="4" max="5" width="38.75" bestFit="1" customWidth="1"/>
    <col min="6" max="6" width="17.625" bestFit="1" customWidth="1"/>
    <col min="7" max="7" width="60.375" bestFit="1" customWidth="1"/>
  </cols>
  <sheetData>
    <row r="1" spans="1:13" ht="18" x14ac:dyDescent="0.25">
      <c r="A1" s="3" t="s">
        <v>19</v>
      </c>
      <c r="B1" s="3" t="s">
        <v>30</v>
      </c>
      <c r="C1" s="3" t="s">
        <v>21</v>
      </c>
      <c r="D1" s="3" t="s">
        <v>26</v>
      </c>
      <c r="E1" s="3" t="s">
        <v>27</v>
      </c>
      <c r="F1" s="3" t="s">
        <v>29</v>
      </c>
      <c r="G1" s="3" t="s">
        <v>28</v>
      </c>
      <c r="H1" s="3"/>
      <c r="I1" s="3"/>
      <c r="J1" s="3"/>
      <c r="K1" s="3"/>
      <c r="L1" s="3"/>
      <c r="M1" s="3"/>
    </row>
    <row r="2" spans="1:13" x14ac:dyDescent="0.25">
      <c r="A2" s="4" t="s">
        <v>18</v>
      </c>
      <c r="B2" s="4">
        <f>IF(ISNUMBER(B1),B1+1,0)</f>
        <v>0</v>
      </c>
      <c r="C2" s="5" t="s">
        <v>20</v>
      </c>
      <c r="D2" s="4" t="str">
        <f>CONCATENATE("MSG_",UPPER($A$1),"_",UPPER(($A2)))</f>
        <v>MSG_INTERRUPTCRITERION_NONE</v>
      </c>
      <c r="E2" s="5" t="str">
        <f>SUBSTITUTE(SUBSTITUTE(C2,"Pressing","Press"),"stops","to stop")</f>
        <v>The countdown cannot be stopped.</v>
      </c>
      <c r="F2" s="5">
        <f>LEN(E2)</f>
        <v>32</v>
      </c>
      <c r="G2" s="4" t="str">
        <f>CONCATENATE("Properties.Resources.",D2)</f>
        <v>Properties.Resources.MSG_INTERRUPTCRITERION_NONE</v>
      </c>
      <c r="H2" s="4"/>
      <c r="I2" s="4"/>
      <c r="J2" s="4"/>
      <c r="K2" s="4"/>
      <c r="L2" s="4"/>
      <c r="M2" s="4"/>
    </row>
    <row r="3" spans="1:13" x14ac:dyDescent="0.25">
      <c r="A3" s="4" t="s">
        <v>23</v>
      </c>
      <c r="B3" s="4">
        <f t="shared" ref="B3:B4" si="0">IF(ISNUMBER(B2),B2+1,0)</f>
        <v>1</v>
      </c>
      <c r="C3" s="5" t="s">
        <v>22</v>
      </c>
      <c r="D3" s="4" t="str">
        <f t="shared" ref="D3:D4" si="1">CONCATENATE("MSG_",UPPER($A$1),"_",UPPER(($A3)))</f>
        <v>MSG_INTERRUPTCRITERION_ANYKEY</v>
      </c>
      <c r="E3" s="5" t="str">
        <f>SUBSTITUTE(SUBSTITUTE(C3,"Pressing","Press"),"stops","to stop")</f>
        <v>Press any key to stop the countdown.</v>
      </c>
      <c r="F3" s="5">
        <f t="shared" ref="F3:F4" si="2">LEN(E3)</f>
        <v>36</v>
      </c>
      <c r="G3" s="4" t="str">
        <f t="shared" ref="G3:G4" si="3">CONCATENATE("Properties.Resources.",D3)</f>
        <v>Properties.Resources.MSG_INTERRUPTCRITERION_ANYKEY</v>
      </c>
      <c r="H3" s="4"/>
      <c r="I3" s="4"/>
      <c r="J3" s="4"/>
      <c r="K3" s="4"/>
      <c r="L3" s="4"/>
      <c r="M3" s="4"/>
    </row>
    <row r="4" spans="1:13" x14ac:dyDescent="0.25">
      <c r="A4" s="4" t="s">
        <v>25</v>
      </c>
      <c r="B4" s="4">
        <f t="shared" si="0"/>
        <v>2</v>
      </c>
      <c r="C4" s="5" t="s">
        <v>24</v>
      </c>
      <c r="D4" s="4" t="str">
        <f t="shared" si="1"/>
        <v>MSG_INTERRUPTCRITERION_CARRIAGERETURN</v>
      </c>
      <c r="E4" s="5" t="str">
        <f>SUBSTITUTE(SUBSTITUTE(C4,"Pressing","Press"),"stops","to stop")</f>
        <v>Press the ENTER key to stop the countdown.</v>
      </c>
      <c r="F4" s="5">
        <f t="shared" si="2"/>
        <v>42</v>
      </c>
      <c r="G4" s="4" t="str">
        <f t="shared" si="3"/>
        <v>Properties.Resources.MSG_INTERRUPTCRITERION_CARRIAGERETURN</v>
      </c>
      <c r="H4" s="4"/>
      <c r="I4" s="4"/>
      <c r="J4" s="4"/>
      <c r="K4" s="4"/>
      <c r="L4" s="4"/>
      <c r="M4" s="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 Coded Strings to Resources</vt:lpstr>
      <vt:lpstr>FixedConsoleWriter Prompts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Message Improvements</dc:title>
  <dc:subject>WizardWrx.ConsoleAppAids2.dll, Version 6.3</dc:subject>
  <dc:creator>David A. Gray</dc:creator>
  <cp:lastModifiedBy>David A. Gray</cp:lastModifiedBy>
  <dcterms:created xsi:type="dcterms:W3CDTF">2016-06-08T23:52:53Z</dcterms:created>
  <dcterms:modified xsi:type="dcterms:W3CDTF">2016-06-10T01:04:25Z</dcterms:modified>
</cp:coreProperties>
</file>